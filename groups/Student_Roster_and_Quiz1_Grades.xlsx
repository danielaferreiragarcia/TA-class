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iela Ferreira\.claude\projects\Engineering Design TA\"/>
    </mc:Choice>
  </mc:AlternateContent>
  <xr:revisionPtr revIDLastSave="0" documentId="13_ncr:1_{AEC9F1D1-E8B8-4C59-9B5C-1ADC574B5F7C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Read Me" sheetId="1" r:id="rId1"/>
    <sheet name="Roster" sheetId="2" r:id="rId2"/>
    <sheet name="Groups" sheetId="3" r:id="rId3"/>
    <sheet name="Group Members &amp; Budget" sheetId="8" r:id="rId12"/>
    <sheet name="Quiz 1 Grades" sheetId="4" r:id="rId4"/>
    <sheet name="Performance per Problem" sheetId="5" r:id="rId5"/>
    <sheet name="Class Summary" sheetId="6" r:id="rId6"/>
    <sheet name="Statistical Analysis" sheetId="7" r:id="rId7"/>
  </sheets>
  <definedNames>
    <definedName name="_xlnm._FilterDatabase" localSheetId="4" hidden="1">'Quiz 1 Grades'!$A$6:$P$58</definedName>
    <definedName name="_xlnm._FilterDatabase" localSheetId="1" hidden="1">Roster!$A$4:$H$56</definedName>
    <definedName name="_xlnm._FilterDatabase" localSheetId="7" hidden="1">'Statistical Analysis'!$A$69:$H$121</definedName>
    <definedName name="Alpha">'Statistical Analysis'!$B$34</definedName>
    <definedName name="KurtScore">'Statistical Analysis'!$B$31</definedName>
    <definedName name="MaxScore">'Quiz 1 Grades'!$L$5</definedName>
    <definedName name="MeanScore">'Statistical Analysis'!$B$16</definedName>
    <definedName name="MedianScore">'Statistical Analysis'!$B$17</definedName>
    <definedName name="nGraded">'Statistical Analysis'!$B$15</definedName>
    <definedName name="_xlnm.Print_Area" localSheetId="4">'Quiz 1 Grades'!$A$1:$P$65</definedName>
    <definedName name="_xlnm.Print_Area" localSheetId="7">'Statistical Analysis'!$A$1:$N$121</definedName>
    <definedName name="_xlnm.Print_Titles" localSheetId="4">'Quiz 1 Grades'!$4:$6</definedName>
    <definedName name="_xlnm.Print_Titles" localSheetId="1">Roster!$4:$4</definedName>
    <definedName name="SDScore">'Statistical Analysis'!$B$18</definedName>
    <definedName name="SkewScore">'Statistical Analysis'!$B$30</definedName>
    <definedName name="Totals">'Quiz 1 Grades'!$L$7:$L$58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 workbook</author>
  </authors>
  <commentList>
    <comment ref="A2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Meeting notes: groups of 4 to 5 students. Edit these two cells if the professor changes group size.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 workbook</author>
  </authors>
  <commentList>
    <comment ref="R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Thresholds kept from your original file (0–25 red, 26–39 yellow, 40–50 green). Edit S3:S4.</t>
        </r>
      </text>
    </comment>
    <comment ref="C5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Max points per sub-question: Problem 1 = 35 and Problem 2 = 15 come from the original headers. The split (10/15/5/5 and 5/5/5) was inferred from the highest scores recorded — confirm with the instructor and edit here if needed.</t>
        </r>
      </text>
    </comment>
  </commentList>
</comments>
</file>

<file path=xl/sharedStrings.xml><?xml version="1.0" encoding="utf-8"?>
<sst xmlns="http://schemas.openxmlformats.org/spreadsheetml/2006/main" count="417" uniqueCount="379">
  <si>
    <t>Quiz 1 — Grades by Student</t>
  </si>
  <si>
    <t>Blue cells = scores you type. Subtotals, total, %, band, rank and status are formulas. Rows turn yellow when a student has no scores.</t>
  </si>
  <si>
    <t>Performance bands</t>
  </si>
  <si>
    <t>Strong (green) if total ≥</t>
  </si>
  <si>
    <t>Student</t>
  </si>
  <si>
    <t>Results</t>
  </si>
  <si>
    <t>Satisfactory (yellow) if total ≥</t>
  </si>
  <si>
    <t>Max points</t>
  </si>
  <si>
    <t>Needs support (red) if total &lt;</t>
  </si>
  <si>
    <t>#</t>
  </si>
  <si>
    <t>Student Name</t>
  </si>
  <si>
    <t>1.1</t>
  </si>
  <si>
    <t>1.2</t>
  </si>
  <si>
    <t>1.3 A</t>
  </si>
  <si>
    <t>1.3 B</t>
  </si>
  <si>
    <t>P1 Total</t>
  </si>
  <si>
    <t>2.1</t>
  </si>
  <si>
    <t>2.2</t>
  </si>
  <si>
    <t>2.3</t>
  </si>
  <si>
    <t>P2 Total</t>
  </si>
  <si>
    <t>TOTAL</t>
  </si>
  <si>
    <t>%</t>
  </si>
  <si>
    <t>Performance</t>
  </si>
  <si>
    <t>Rank</t>
  </si>
  <si>
    <t>Status</t>
  </si>
  <si>
    <t>Class average</t>
  </si>
  <si>
    <t>Average % of max</t>
  </si>
  <si>
    <t>Highest</t>
  </si>
  <si>
    <t>Lowest</t>
  </si>
  <si>
    <t>Students graded</t>
  </si>
  <si>
    <t>Totals, ranks and statistics include only fully graded quizzes (Status = Graded).</t>
  </si>
  <si>
    <t>Student Roster &amp; Quiz 1 Grades</t>
  </si>
  <si>
    <t>Engineering Design · Fall 2026 · Teaching Assistant gradebook (rebuilt from 'Califications Quiz 1.xlsx' — the original file was not modified)</t>
  </si>
  <si>
    <t>Tabs in this workbook</t>
  </si>
  <si>
    <t>Roster</t>
  </si>
  <si>
    <t>Master list of the 52 students (last / first name). Type each student's Group # (column E). Quiz 1 score is pulled in automatically.</t>
  </si>
  <si>
    <t>Groups</t>
  </si>
  <si>
    <t>One row per project group (up to 13): choose the project track, see group size, size check and group Quiz 1 average; class split totals below.</t>
  </si>
  <si>
    <t>Quiz 1 Grades</t>
  </si>
  <si>
    <t>Score per sub-question. Problem subtotals, total (/50), %, performance band, rank and status are formulas. Class averages at the bottom.</t>
  </si>
  <si>
    <t>Performance per Problem</t>
  </si>
  <si>
    <t>Statistics for every sub-question (average, % of max, median, std dev, full marks, zeros) + charts. The Flag column tells you what to review in class.</t>
  </si>
  <si>
    <t>Class Summary</t>
  </si>
  <si>
    <t>Class-level numbers: graded / missing, average, median, high / low, performance bands and score distribution chart.</t>
  </si>
  <si>
    <t>Statistical Analysis</t>
  </si>
  <si>
    <t>Gaussian (normal) analysis: descriptive statistics with a confidence interval, five normality tests (Shapiro–Wilk, Anderson–Darling, Jarque–Bera, skewness &amp; kurtosis z), empirical ±σ rule, histogram vs. normal curve, Q–Q plot, question analysis (difficulty, discrimination, Cronbach's α) and each student's z-score. Key findings at the top are written by formulas.</t>
  </si>
  <si>
    <t>Color legend</t>
  </si>
  <si>
    <t>Blue text, pale-yellow cell</t>
  </si>
  <si>
    <t>A value you type (scores, max points, group #, tracks, thresholds).</t>
  </si>
  <si>
    <t>Black text</t>
  </si>
  <si>
    <t>A formula — do not type over it; it updates automatically.</t>
  </si>
  <si>
    <t>Yellow row (Quiz 1 Grades)</t>
  </si>
  <si>
    <t>Student has no Quiz 1 scores yet (status = Missing).</t>
  </si>
  <si>
    <t>Green / yellow / red total</t>
  </si>
  <si>
    <t>Performance band: Strong / Satisfactory / Needs support (thresholds editable on Quiz 1 Grades, cells S3:S4).</t>
  </si>
  <si>
    <t>Red number</t>
  </si>
  <si>
    <t>A score of 0 on that sub-question.</t>
  </si>
  <si>
    <t>How to…</t>
  </si>
  <si>
    <t>Enter a missing score</t>
  </si>
  <si>
    <t>Go to Quiz 1 Grades and type the points in the blue cells of that student's row. Everything else recalculates.</t>
  </si>
  <si>
    <t>Partly graded quiz</t>
  </si>
  <si>
    <t>If some sub-scores are still blank, the Status shows 'Incomplete' and the student is left out of the total, rank and class statistics until every sub-score is entered.</t>
  </si>
  <si>
    <t>Add a student</t>
  </si>
  <si>
    <t>Insert a new row INSIDE the tables (above the last student) on both Roster and Quiz 1 Grades, then copy the formulas down from the row above. All totals and statistics expand automatically.</t>
  </si>
  <si>
    <t>Form project groups</t>
  </si>
  <si>
    <t>Roster → pick a Group # for each student (column E, drop-down). Groups tab → choose the project track for each group. Sizes, tracks and averages update automatically.</t>
  </si>
  <si>
    <t>Change max points</t>
  </si>
  <si>
    <t>Quiz 1 Grades row 5 (blue cells, 'Max points'). Subtotals, %, statistics and score limits follow.</t>
  </si>
  <si>
    <t>Sort / filter</t>
  </si>
  <si>
    <t>Use the filter arrows on Quiz 1 Grades row 6 (e.g., sort by TOTAL, filter Performance = 'Needs support'). The max-points row and thresholds stay put; names follow the # automatically.</t>
  </si>
  <si>
    <t>Notes &amp; assumptions</t>
  </si>
  <si>
    <t>1.1 = 10, 1.2 = 15, 1.3 A = 5, 1.3 B = 5 (Problem 1 = 35) and 2.1 = 2.2 = 2.3 = 5 (Problem 2 = 15), total 50. Problem totals come from the original headers; the split per sub-question was inferred from the highest scores recorded and the original per-problem color bands — confirm with the instructor.</t>
  </si>
  <si>
    <t>Missing quizzes</t>
  </si>
  <si>
    <t>Gavin Cappel and Michelle Gutierrez have no Quiz 1 scores (they were highlighted yellow in the original file). They are excluded from averages until scores are entered.</t>
  </si>
  <si>
    <t>Kept from the original file's color rules: 40–50 green, 26–39 yellow, 0–25 red.</t>
  </si>
  <si>
    <t>Names</t>
  </si>
  <si>
    <t>Trailing spaces were removed and names split into Last / First (last word = last name). Please double-check spellings against Canvas (e.g., 'Jermy Brown').</t>
  </si>
  <si>
    <t>Class Roster</t>
  </si>
  <si>
    <t>Pick a Group # for each student (blue drop-down). Set each group's project track on the Groups tab → the student's track fills in automatically.</t>
  </si>
  <si>
    <t>Last Name</t>
  </si>
  <si>
    <t>First Name</t>
  </si>
  <si>
    <t>Full Name</t>
  </si>
  <si>
    <t>Group #</t>
  </si>
  <si>
    <t>Project Track</t>
  </si>
  <si>
    <t>Quiz 1
(/50)</t>
  </si>
  <si>
    <t>Quiz 1
%</t>
  </si>
  <si>
    <t>Abagwe</t>
  </si>
  <si>
    <t>David</t>
  </si>
  <si>
    <t>Acharya</t>
  </si>
  <si>
    <t>Sonu</t>
  </si>
  <si>
    <t>Adams</t>
  </si>
  <si>
    <t>Ashton</t>
  </si>
  <si>
    <t>Albert</t>
  </si>
  <si>
    <t>Hayden</t>
  </si>
  <si>
    <t>Allen</t>
  </si>
  <si>
    <t>Lani</t>
  </si>
  <si>
    <t>Andrade</t>
  </si>
  <si>
    <t>John David</t>
  </si>
  <si>
    <t>Atkins</t>
  </si>
  <si>
    <t>Landon</t>
  </si>
  <si>
    <t>Borkland</t>
  </si>
  <si>
    <t>Ryan</t>
  </si>
  <si>
    <t>Brown</t>
  </si>
  <si>
    <t>Jermy</t>
  </si>
  <si>
    <t>Calderon</t>
  </si>
  <si>
    <t>Eric</t>
  </si>
  <si>
    <t>Camarillo</t>
  </si>
  <si>
    <t>Angel</t>
  </si>
  <si>
    <t>Cappel</t>
  </si>
  <si>
    <t>Gavin</t>
  </si>
  <si>
    <t>Chelikani</t>
  </si>
  <si>
    <t>Venditha</t>
  </si>
  <si>
    <t>Colunga</t>
  </si>
  <si>
    <t>Brisa</t>
  </si>
  <si>
    <t>Cruz-Hernandez</t>
  </si>
  <si>
    <t>Axel</t>
  </si>
  <si>
    <t>Cuellar</t>
  </si>
  <si>
    <t>Devin</t>
  </si>
  <si>
    <t>Mia</t>
  </si>
  <si>
    <t>Cutrer</t>
  </si>
  <si>
    <t>Trevin</t>
  </si>
  <si>
    <t>Dillah</t>
  </si>
  <si>
    <t>Elizabeth</t>
  </si>
  <si>
    <t>Elsas</t>
  </si>
  <si>
    <t>Jack</t>
  </si>
  <si>
    <t>Felux</t>
  </si>
  <si>
    <t>Connor</t>
  </si>
  <si>
    <t>Gates</t>
  </si>
  <si>
    <t>Hunter</t>
  </si>
  <si>
    <t>Gayen</t>
  </si>
  <si>
    <t>Brinda</t>
  </si>
  <si>
    <t>Gaytan</t>
  </si>
  <si>
    <t>Victoria</t>
  </si>
  <si>
    <t>Gonzalez</t>
  </si>
  <si>
    <t>Jocelyn</t>
  </si>
  <si>
    <t>Gutierrez</t>
  </si>
  <si>
    <t>Michelle</t>
  </si>
  <si>
    <t>Holmes</t>
  </si>
  <si>
    <t>Rachel</t>
  </si>
  <si>
    <t>Ickert</t>
  </si>
  <si>
    <t>Emily</t>
  </si>
  <si>
    <t>Jacob</t>
  </si>
  <si>
    <t>Mihal</t>
  </si>
  <si>
    <t>Jasso</t>
  </si>
  <si>
    <t>Alyssa</t>
  </si>
  <si>
    <t>Juarez</t>
  </si>
  <si>
    <t>Isabella</t>
  </si>
  <si>
    <t>Ka</t>
  </si>
  <si>
    <t>Maryam</t>
  </si>
  <si>
    <t>Koestler</t>
  </si>
  <si>
    <t>Jenna</t>
  </si>
  <si>
    <t>Kwende</t>
  </si>
  <si>
    <t>Shawn</t>
  </si>
  <si>
    <t>Larsen</t>
  </si>
  <si>
    <t>Kara</t>
  </si>
  <si>
    <t>Leal</t>
  </si>
  <si>
    <t>Diego</t>
  </si>
  <si>
    <t>Leon</t>
  </si>
  <si>
    <t>Valeria</t>
  </si>
  <si>
    <t>Linhart</t>
  </si>
  <si>
    <t>Aaron</t>
  </si>
  <si>
    <t>O'neal</t>
  </si>
  <si>
    <t>Jared</t>
  </si>
  <si>
    <t>Osorio</t>
  </si>
  <si>
    <t>Daniela</t>
  </si>
  <si>
    <t>Padilla</t>
  </si>
  <si>
    <t>Yasmine</t>
  </si>
  <si>
    <t>Perrio</t>
  </si>
  <si>
    <t>Macie</t>
  </si>
  <si>
    <t>Potter</t>
  </si>
  <si>
    <t>Emmalie</t>
  </si>
  <si>
    <t>Presa</t>
  </si>
  <si>
    <t>Luke</t>
  </si>
  <si>
    <t>Reyes</t>
  </si>
  <si>
    <t>Benny</t>
  </si>
  <si>
    <t>Rodriguez</t>
  </si>
  <si>
    <t>Noah</t>
  </si>
  <si>
    <t>Romashkin</t>
  </si>
  <si>
    <t>Roman</t>
  </si>
  <si>
    <t>Rushing</t>
  </si>
  <si>
    <t>Kayra</t>
  </si>
  <si>
    <t>Salada</t>
  </si>
  <si>
    <t>Brooke</t>
  </si>
  <si>
    <t>Senior</t>
  </si>
  <si>
    <t>Haylee</t>
  </si>
  <si>
    <t>Tarin</t>
  </si>
  <si>
    <t>Hayley</t>
  </si>
  <si>
    <t>Wildman</t>
  </si>
  <si>
    <t>Shaman</t>
  </si>
  <si>
    <t>Project Groups</t>
  </si>
  <si>
    <t>Choose each group's project track (blue). Students are assigned on the Roster tab (column E). Group size, size check and averages are formulas.</t>
  </si>
  <si>
    <t>Project Track (choose)</t>
  </si>
  <si>
    <t># Students</t>
  </si>
  <si>
    <t>Size check</t>
  </si>
  <si>
    <t>Avg Quiz 1 %</t>
  </si>
  <si>
    <t>Class split &amp; group sizing</t>
  </si>
  <si>
    <t>Students on roster</t>
  </si>
  <si>
    <t>Assigned to a group</t>
  </si>
  <si>
    <t>Not yet assigned</t>
  </si>
  <si>
    <t>Methylene Blue Removal students</t>
  </si>
  <si>
    <t>Oxygenation students</t>
  </si>
  <si>
    <t>Groups on Methylene Blue Removal</t>
  </si>
  <si>
    <t>Minimum students per group</t>
  </si>
  <si>
    <t>Maximum students per group</t>
  </si>
  <si>
    <t>Groups needed (at max size)</t>
  </si>
  <si>
    <t>All statistics are formulas that read the Quiz 1 Grades sheet (students with no scores are excluded). Use the Flag column to decide what to review in class.</t>
  </si>
  <si>
    <t>Question</t>
  </si>
  <si>
    <t>Max Pts</t>
  </si>
  <si>
    <t># Graded</t>
  </si>
  <si>
    <t>Average</t>
  </si>
  <si>
    <t>Average %</t>
  </si>
  <si>
    <t>Median</t>
  </si>
  <si>
    <t>Std Dev</t>
  </si>
  <si>
    <t># Full
Marks</t>
  </si>
  <si>
    <t>% Full
Marks</t>
  </si>
  <si>
    <t># Zeros</t>
  </si>
  <si>
    <t>% Zeros</t>
  </si>
  <si>
    <t>Flag</t>
  </si>
  <si>
    <t>Flag thresholds</t>
  </si>
  <si>
    <t>OK if average % ≥</t>
  </si>
  <si>
    <t>Review in class if average % &lt;</t>
  </si>
  <si>
    <t>…or if % of zeros ≥</t>
  </si>
  <si>
    <t>(otherwise, below the OK line = Monitor)</t>
  </si>
  <si>
    <t>Problem 1 total</t>
  </si>
  <si>
    <t>Problem 2 total</t>
  </si>
  <si>
    <t>QUIZ TOTAL</t>
  </si>
  <si>
    <t>Quiz 1 — Class Summary</t>
  </si>
  <si>
    <t>Everything on this sheet is calculated from the Quiz 1 Grades and Roster sheets (fully graded quizzes only).</t>
  </si>
  <si>
    <t>At a glance</t>
  </si>
  <si>
    <t>Band</t>
  </si>
  <si>
    <t>Range</t>
  </si>
  <si>
    <t>% of graded</t>
  </si>
  <si>
    <t>Quizzes fully graded</t>
  </si>
  <si>
    <t>Strong</t>
  </si>
  <si>
    <t>Incomplete (some scores missing)</t>
  </si>
  <si>
    <t>Satisfactory</t>
  </si>
  <si>
    <t>Missing (no scores)</t>
  </si>
  <si>
    <t>Needs support</t>
  </si>
  <si>
    <t>Class average (/50)</t>
  </si>
  <si>
    <t>Total graded</t>
  </si>
  <si>
    <t>Class average (%)</t>
  </si>
  <si>
    <t>Median (/50)</t>
  </si>
  <si>
    <t>Standard deviation</t>
  </si>
  <si>
    <t>Highest score</t>
  </si>
  <si>
    <t>Lowest score</t>
  </si>
  <si>
    <t>Score distribution (total /50)</t>
  </si>
  <si>
    <t>Score range</t>
  </si>
  <si>
    <t>From</t>
  </si>
  <si>
    <t>To</t>
  </si>
  <si>
    <t>Total</t>
  </si>
  <si>
    <t>Check: equals quizzes fully graded?</t>
  </si>
  <si>
    <t>Statistical Analysis — Quiz 1 (Gaussian fit)</t>
  </si>
  <si>
    <t>Every value is a formula over the fully graded Quiz 1 totals, so the analysis updates when grades change. Blue cells = settings you can change. Tests use α = 0.05 (cell B34).</t>
  </si>
  <si>
    <t>Key findings (these sentences update automatically)</t>
  </si>
  <si>
    <t>1. Descriptive statistics</t>
  </si>
  <si>
    <t>2. Is the class distribution Gaussian? (normality tests)</t>
  </si>
  <si>
    <t>Calculation helpers (formulas — do not edit)</t>
  </si>
  <si>
    <t>Test intermediates</t>
  </si>
  <si>
    <t>Graded-only data for item analysis (formulas — do not edit)</t>
  </si>
  <si>
    <t>Statistic</t>
  </si>
  <si>
    <t>Value</t>
  </si>
  <si>
    <t>Note</t>
  </si>
  <si>
    <t>Test</t>
  </si>
  <si>
    <t>p-value</t>
  </si>
  <si>
    <t>Verdict</t>
  </si>
  <si>
    <t>What it checks</t>
  </si>
  <si>
    <t>i</t>
  </si>
  <si>
    <t>Sorted score y(i)</t>
  </si>
  <si>
    <t>Plot position p</t>
  </si>
  <si>
    <t>Normal quantile m</t>
  </si>
  <si>
    <t>Expected score (Q–Q x)</t>
  </si>
  <si>
    <t>SW weight a</t>
  </si>
  <si>
    <t>a × y(i)</t>
  </si>
  <si>
    <t>AD term</t>
  </si>
  <si>
    <t>Rest 1.1</t>
  </si>
  <si>
    <t>Rest 1.2</t>
  </si>
  <si>
    <t>Rest 1.3 A</t>
  </si>
  <si>
    <t>Rest 1.3 B</t>
  </si>
  <si>
    <t>Rest 2.1</t>
  </si>
  <si>
    <t>Rest 2.2</t>
  </si>
  <si>
    <t>Rest 2.3</t>
  </si>
  <si>
    <t>Graded quizzes (n)</t>
  </si>
  <si>
    <t>Only fully graded quizzes count</t>
  </si>
  <si>
    <t>Skewness z-test</t>
  </si>
  <si>
    <t>Symmetry (z = skewness ÷ its standard error)</t>
  </si>
  <si>
    <t>Σ m²</t>
  </si>
  <si>
    <t>Mean (points)</t>
  </si>
  <si>
    <t>Kurtosis z-test</t>
  </si>
  <si>
    <t>Peak / tails vs. a bell curve</t>
  </si>
  <si>
    <t>u = 1/√n</t>
  </si>
  <si>
    <t>Median (points)</t>
  </si>
  <si>
    <t>Middle student</t>
  </si>
  <si>
    <t>Jarque–Bera</t>
  </si>
  <si>
    <t>Skewness + kurtosis together (large-sample test)</t>
  </si>
  <si>
    <t>c(n) = m(n)/√Σm²</t>
  </si>
  <si>
    <t>Standard deviation (sample)</t>
  </si>
  <si>
    <t>Typical distance from the mean</t>
  </si>
  <si>
    <t>Anderson–Darling (A²*)</t>
  </si>
  <si>
    <t>Whole distribution, extra weight on the tails</t>
  </si>
  <si>
    <t>c(n−1)</t>
  </si>
  <si>
    <t>Variance</t>
  </si>
  <si>
    <t>Shapiro–Wilk (W)</t>
  </si>
  <si>
    <t>Most powerful general test for n ≤ 50 (Royston 1992 approximation)</t>
  </si>
  <si>
    <t>a(n)  [Royston 1992]</t>
  </si>
  <si>
    <t>Standard error of the mean</t>
  </si>
  <si>
    <t>SD ÷ √n</t>
  </si>
  <si>
    <t>a(n−1)</t>
  </si>
  <si>
    <t>t-distribution</t>
  </si>
  <si>
    <t>φ</t>
  </si>
  <si>
    <t>3. Empirical rule — students within ±σ of the mean</t>
  </si>
  <si>
    <t>Σ a·y</t>
  </si>
  <si>
    <t>Minimum</t>
  </si>
  <si>
    <t>Interval</t>
  </si>
  <si>
    <t>Expected % (Gaussian)</t>
  </si>
  <si>
    <t>Observed students</t>
  </si>
  <si>
    <t>Observed %</t>
  </si>
  <si>
    <t>Σ (y − ȳ)²</t>
  </si>
  <si>
    <t>1st quartile (Q1)</t>
  </si>
  <si>
    <t>25% of students scored below</t>
  </si>
  <si>
    <t>Within ±1σ</t>
  </si>
  <si>
    <t>Shapiro–Wilk W</t>
  </si>
  <si>
    <t>3rd quartile (Q3)</t>
  </si>
  <si>
    <t>75% of students scored below</t>
  </si>
  <si>
    <t>Within ±2σ</t>
  </si>
  <si>
    <t>ln n</t>
  </si>
  <si>
    <t>Maximum</t>
  </si>
  <si>
    <t>Within ±3σ</t>
  </si>
  <si>
    <t>μ (Royston, n ≥ 12)</t>
  </si>
  <si>
    <t>Max − min</t>
  </si>
  <si>
    <t>σ (Royston, n ≥ 12)</t>
  </si>
  <si>
    <t>Interquartile range (IQR)</t>
  </si>
  <si>
    <t>Spread of the middle 50%</t>
  </si>
  <si>
    <t>σ band</t>
  </si>
  <si>
    <t>z(W)</t>
  </si>
  <si>
    <t>Coefficient of variation</t>
  </si>
  <si>
    <t>SD ÷ mean</t>
  </si>
  <si>
    <t>Above +1σ</t>
  </si>
  <si>
    <t>p (Shapiro–Wilk)</t>
  </si>
  <si>
    <t>Skewness</t>
  </si>
  <si>
    <t>&lt; 0: tail toward low scores</t>
  </si>
  <si>
    <t>Mean to +1σ</t>
  </si>
  <si>
    <t>A² (Anderson–Darling)</t>
  </si>
  <si>
    <t>Excess kurtosis</t>
  </si>
  <si>
    <t>0 = bell curve; &lt; 0 flatter</t>
  </si>
  <si>
    <t>−1σ to mean</t>
  </si>
  <si>
    <t>A²* = A²(1 + 0.75/n + 2.25/n²)</t>
  </si>
  <si>
    <t>Mean as % of max</t>
  </si>
  <si>
    <t>−2σ to −1σ</t>
  </si>
  <si>
    <t>p (Anderson–Darling)</t>
  </si>
  <si>
    <t>Median as % of max</t>
  </si>
  <si>
    <t>Below −2σ</t>
  </si>
  <si>
    <t>SE of skewness</t>
  </si>
  <si>
    <t>Significance level α (for tests)</t>
  </si>
  <si>
    <t>SE of kurtosis</t>
  </si>
  <si>
    <t>Confidence level (for the CI)</t>
  </si>
  <si>
    <t>Q–Q reference line</t>
  </si>
  <si>
    <t>4. Score distribution vs. the Gaussian (normal) curve</t>
  </si>
  <si>
    <t>Score bin</t>
  </si>
  <si>
    <t>Midpoint</t>
  </si>
  <si>
    <t>Expected if Gaussian</t>
  </si>
  <si>
    <t>Observed − expected</t>
  </si>
  <si>
    <t>Total (0 – max)</t>
  </si>
  <si>
    <t>Expected below 0 (impossible score)</t>
  </si>
  <si>
    <t>Expected above the maximum (ceiling)</t>
  </si>
  <si>
    <t>5. Question (item) analysis — graded quizzes only</t>
  </si>
  <si>
    <t>Max pts</t>
  </si>
  <si>
    <t>Difficulty (avg %)</t>
  </si>
  <si>
    <t>SD</t>
  </si>
  <si>
    <t>Item–rest correlation</t>
  </si>
  <si>
    <t>Discrimination</t>
  </si>
  <si>
    <t>Hint</t>
  </si>
  <si>
    <t>Cronbach's α (reliability of the total)</t>
  </si>
  <si>
    <t>≥ 0.70 acceptable for a classroom test; short quizzes (7 questions) are often 0.5–0.7.</t>
  </si>
  <si>
    <t>Item–rest correlation = correlation between a question and the total of the OTHER questions (≥ 0.30 good, 0.20–0.29 fair, &lt; 0.20 weak).</t>
  </si>
  <si>
    <t>#N/A in columns Q and T = unused row (keeps the Q–Q chart clean).</t>
  </si>
  <si>
    <t>6. Student standing on the Gaussian scale</t>
  </si>
  <si>
    <t>z-score</t>
  </si>
  <si>
    <t>Percentile (actual rank)</t>
  </si>
  <si>
    <t>Percentile if Gaussian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</si>
</sst>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%"/>
    <numFmt numFmtId="166" formatCode="0.000"/>
    <numFmt numFmtId="167" formatCode="0.0000"/>
    <numFmt numFmtId="168" formatCode="0.000000"/>
    <numFmt numFmtId="169" formatCode="\+0.0;\-0.0;0.0"/>
    <numFmt numFmtId="170" formatCode="\+0.00;\-0.00;0.00"/>
    <numFmt numFmtId="171" formatCode="&quot;$&quot;#,##0"/>
  </numFmts>
  <fonts count="2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9"/>
      <color rgb="FF595959"/>
      <name val="Arial"/>
    </font>
    <font>
      <b/>
      <sz val="12"/>
      <color rgb="FFCC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color rgb="FFC00000"/>
      <name val="Arial"/>
    </font>
    <font>
      <b/>
      <sz val="10"/>
      <color rgb="FFFFFFFF"/>
      <name val="Arial"/>
    </font>
    <font>
      <b/>
      <i/>
      <sz val="10"/>
      <color rgb="FF000000"/>
      <name val="Arial"/>
    </font>
    <font>
      <b/>
      <sz val="10"/>
      <color rgb="FF0000FF"/>
      <name val="Arial"/>
    </font>
    <font>
      <i/>
      <sz val="8"/>
      <color rgb="FF595959"/>
      <name val="Arial"/>
    </font>
    <font>
      <b/>
      <sz val="10"/>
      <color rgb="FF006100"/>
      <name val="Arial"/>
    </font>
    <font>
      <b/>
      <sz val="10"/>
      <color rgb="FF9C5700"/>
      <name val="Arial"/>
    </font>
    <font>
      <b/>
      <sz val="10"/>
      <color rgb="FF9C0006"/>
      <name val="Arial"/>
    </font>
    <font>
      <b/>
      <sz val="12"/>
      <color rgb="FF595959"/>
      <name val="Arial"/>
    </font>
    <font>
      <sz val="8"/>
      <color rgb="FF595959"/>
      <name val="Arial"/>
    </font>
    <font>
      <b/>
      <sz val="10"/>
      <color rgb="FF595959"/>
      <name val="Arial"/>
    </font>
    <font>
      <b/>
      <sz val="9"/>
      <color rgb="FF000000"/>
      <name val="Arial"/>
    </font>
    <font>
      <i/>
      <sz val="9"/>
      <color rgb="FF000000"/>
      <name val="Arial"/>
    </font>
    <font>
      <b/>
      <sz val="8"/>
      <color rgb="FF595959"/>
      <name val="Arial"/>
    </font>
    <font>
      <i/>
      <sz val="8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FFF9E5"/>
        <bgColor rgb="FFFFF9E5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262626"/>
        <bgColor rgb="FF262626"/>
      </patternFill>
    </fill>
    <fill>
      <patternFill patternType="solid">
        <fgColor rgb="FF595959"/>
        <bgColor rgb="FF595959"/>
      </patternFill>
    </fill>
    <fill>
      <patternFill patternType="solid">
        <fgColor rgb="FF7F1D1D"/>
        <bgColor rgb="FF7F1D1D"/>
      </patternFill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7F9FC"/>
        <bgColor rgb="FFF7F9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6" fillId="3" borderId="1" xfId="0" applyFont="1" applyFill="1" applyBorder="1"/>
    <xf numFmtId="0" fontId="5" fillId="0" borderId="1" xfId="0" applyFont="1" applyBorder="1"/>
    <xf numFmtId="0" fontId="5" fillId="4" borderId="1" xfId="0" applyFont="1" applyFill="1" applyBorder="1"/>
    <xf numFmtId="0" fontId="5" fillId="5" borderId="1" xfId="0" applyFont="1" applyFill="1" applyBorder="1"/>
    <xf numFmtId="0" fontId="7" fillId="0" borderId="1" xfId="0" applyFont="1" applyBorder="1"/>
    <xf numFmtId="0" fontId="8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10" borderId="1" xfId="0" applyFont="1" applyFill="1" applyBorder="1"/>
    <xf numFmtId="0" fontId="0" fillId="9" borderId="1" xfId="0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5" fillId="11" borderId="1" xfId="0" applyFont="1" applyFill="1" applyBorder="1"/>
    <xf numFmtId="0" fontId="5" fillId="0" borderId="1" xfId="0" applyFont="1" applyBorder="1" applyAlignment="1">
      <alignment horizontal="left" vertical="center" wrapText="1"/>
    </xf>
    <xf numFmtId="0" fontId="4" fillId="9" borderId="1" xfId="0" applyFont="1" applyFill="1" applyBorder="1"/>
    <xf numFmtId="164" fontId="4" fillId="9" borderId="1" xfId="0" applyNumberFormat="1" applyFont="1" applyFill="1" applyBorder="1" applyAlignment="1">
      <alignment horizontal="center" vertical="center" wrapText="1"/>
    </xf>
    <xf numFmtId="9" fontId="4" fillId="9" borderId="1" xfId="0" applyNumberFormat="1" applyFont="1" applyFill="1" applyBorder="1" applyAlignment="1">
      <alignment horizontal="center" vertic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9" fontId="6" fillId="3" borderId="1" xfId="0" applyNumberFormat="1" applyFont="1" applyFill="1" applyBorder="1"/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2" fillId="5" borderId="1" xfId="0" applyFont="1" applyFill="1" applyBorder="1"/>
    <xf numFmtId="0" fontId="13" fillId="10" borderId="1" xfId="0" applyFont="1" applyFill="1" applyBorder="1"/>
    <xf numFmtId="0" fontId="14" fillId="11" borderId="1" xfId="0" applyFont="1" applyFill="1" applyBorder="1"/>
    <xf numFmtId="164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17" fillId="0" borderId="0" xfId="0" applyFont="1"/>
    <xf numFmtId="0" fontId="11" fillId="0" borderId="1" xfId="0" applyFont="1" applyBorder="1" applyAlignment="1">
      <alignment horizontal="left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167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/>
    <xf numFmtId="168" fontId="16" fillId="0" borderId="1" xfId="0" applyNumberFormat="1" applyFont="1" applyBorder="1"/>
    <xf numFmtId="0" fontId="16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165" fontId="5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9" fontId="6" fillId="3" borderId="1" xfId="0" applyNumberFormat="1" applyFont="1" applyFill="1" applyBorder="1" applyAlignment="1">
      <alignment horizontal="center" vertical="center" wrapText="1"/>
    </xf>
    <xf numFmtId="0" fontId="20" fillId="0" borderId="0" xfId="0" applyFont="1"/>
    <xf numFmtId="164" fontId="16" fillId="0" borderId="1" xfId="0" applyNumberFormat="1" applyFont="1" applyBorder="1"/>
    <xf numFmtId="169" fontId="5" fillId="0" borderId="1" xfId="0" applyNumberFormat="1" applyFont="1" applyBorder="1" applyAlignment="1">
      <alignment horizontal="center" vertical="center" wrapText="1"/>
    </xf>
    <xf numFmtId="0" fontId="19" fillId="0" borderId="0" xfId="0" applyFont="1"/>
    <xf numFmtId="1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170" fontId="5" fillId="0" borderId="1" xfId="0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0" fillId="6" borderId="0" xfId="0" applyFill="1"/>
    <xf numFmtId="0" fontId="2" fillId="0" borderId="0" xfId="0" applyFont="1" applyAlignment="1">
      <alignment horizontal="left" vertical="center" wrapText="1" indent="1"/>
    </xf>
    <xf numFmtId="0" fontId="0" fillId="0" borderId="0" xfId="0"/>
    <xf numFmtId="0" fontId="8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8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3" fillId="0" borderId="0" xfId="0" applyFont="1" applyAlignment="1">
      <alignment horizontal="left" vertical="center"/>
    </xf>
    <xf numFmtId="0" fontId="5" fillId="0" borderId="1" xfId="0" applyFont="1" applyBorder="1"/>
    <xf numFmtId="0" fontId="0" fillId="0" borderId="1" xfId="0" applyBorder="1"/>
    <xf numFmtId="0" fontId="15" fillId="0" borderId="0" xfId="0" applyFont="1" applyAlignment="1">
      <alignment horizontal="left" vertical="center"/>
    </xf>
    <xf numFmtId="0" fontId="5" fillId="13" borderId="1" xfId="0" applyFont="1" applyFill="1" applyBorder="1" applyAlignment="1">
      <alignment horizontal="left" vertical="center" wrapText="1" indent="1"/>
    </xf>
    <xf numFmtId="0" fontId="11" fillId="0" borderId="0" xfId="0" applyFont="1"/>
    <xf numFmtId="0" fontId="5" fillId="12" borderId="1" xfId="0" applyFont="1" applyFill="1" applyBorder="1" applyAlignment="1">
      <alignment horizontal="left" vertical="center" wrapText="1" indent="1"/>
    </xf>
    <xf numFmtId="0" fontId="18" fillId="9" borderId="0" xfId="0" applyFont="1" applyFill="1" applyAlignment="1">
      <alignment horizontal="left" vertical="top" wrapText="1"/>
    </xf>
    <xf applyNumberFormat="1" numFmtId="171" fontId="5" fillId="0" borderId="1" xfId="0" applyFont="1" applyBorder="1" applyAlignment="1">
      <alignment horizontal="center" vertical="center" wrapText="1"/>
    </xf>
    <xf applyNumberFormat="1" numFmtId="171" fontId="4" fillId="0" borderId="1" xfId="0" applyFont="1" applyBorder="1" applyAlignment="1">
      <alignment horizontal="center" vertical="center" wrapText="1"/>
    </xf>
    <xf applyNumberFormat="1" numFmtId="171" fontId="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1">
    <dxf>
      <font>
        <sz val="8"/>
        <color rgb="FFFFFFFF"/>
        <name val="Arial"/>
      </font>
    </dxf>
    <dxf>
      <font>
        <b/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57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57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F2CC"/>
          <bgColor rgb="FFFFF2C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57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C65911"/>
        <name val="Arial"/>
      </font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57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57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0000"/>
        <name val="Arial"/>
      </font>
    </dxf>
    <dxf>
      <font>
        <b/>
        <sz val="10"/>
        <color rgb="FFC00000"/>
        <name val="Arial"/>
      </font>
    </dxf>
    <dxf>
      <fill>
        <patternFill patternType="solid">
          <fgColor rgb="FFF7F7F7"/>
          <bgColor rgb="FFF7F7F7"/>
        </patternFill>
      </fill>
    </dxf>
    <dxf>
      <fill>
        <patternFill patternType="solid">
          <fgColor rgb="FFFFF2CC"/>
          <bgColor rgb="FFFFF2C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DEBF7"/>
          <bgColor rgb="FFDDEBF7"/>
        </patternFill>
      </fill>
    </dxf>
    <dxf>
      <font>
        <i/>
        <sz val="9"/>
        <color rgb="FFC65911"/>
        <name val="Arial"/>
      </font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7F7F7"/>
          <bgColor rgb="FFF7F7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2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Average score by sub-question (% of max)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'Performance per Problem'!$E$4</c:f>
              <c:strCache>
                <c:ptCount val="1"/>
                <c:pt idx="0">
                  <c:v>Average %</c:v>
                </c:pt>
              </c:strCache>
            </c:strRef>
          </c:tx>
          <c:spPr>
            <a:solidFill>
              <a:srgbClr val="7F1D1D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'Performance per Problem'!$A$5:$A$11</c:f>
              <c:strCache>
                <c:ptCount val="7"/>
                <c:pt idx="0">
                  <c:v>1.1</c:v>
                </c:pt>
                <c:pt idx="1">
                  <c:v>1.2</c:v>
                </c:pt>
                <c:pt idx="2">
                  <c:v>1.3 A</c:v>
                </c:pt>
                <c:pt idx="3">
                  <c:v>1.3 B</c:v>
                </c:pt>
                <c:pt idx="4">
                  <c:v>2.1</c:v>
                </c:pt>
                <c:pt idx="5">
                  <c:v>2.2</c:v>
                </c:pt>
                <c:pt idx="6">
                  <c:v>2.3</c:v>
                </c:pt>
              </c:strCache>
            </c:strRef>
          </c:cat>
          <c:val>
            <c:numRef>
              <c:f>'Performance per Problem'!$E$5:$E$11</c:f>
              <c:numCache>
                <c:formatCode>0%</c:formatCode>
                <c:ptCount val="7"/>
                <c:pt idx="0">
                  <c:v>0.63200000000000001</c:v>
                </c:pt>
                <c:pt idx="1">
                  <c:v>0.79466666666666663</c:v>
                </c:pt>
                <c:pt idx="2">
                  <c:v>0.82799999999999996</c:v>
                </c:pt>
                <c:pt idx="3">
                  <c:v>0.81600000000000006</c:v>
                </c:pt>
                <c:pt idx="4">
                  <c:v>0.82</c:v>
                </c:pt>
                <c:pt idx="5">
                  <c:v>0.64</c:v>
                </c:pt>
                <c:pt idx="6">
                  <c:v>0.88000000000000012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320-4EE6-9EE2-33C1729A8E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Full marks vs. zeros by sub-question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'Performance per Problem'!$K$4</c:f>
              <c:strCache>
                <c:ptCount val="1"/>
                <c:pt idx="0">
                  <c:v>% Full
Marks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cat>
            <c:strRef>
              <c:f>'Performance per Problem'!$A$5:$A$11</c:f>
              <c:strCache>
                <c:ptCount val="7"/>
                <c:pt idx="0">
                  <c:v>1.1</c:v>
                </c:pt>
                <c:pt idx="1">
                  <c:v>1.2</c:v>
                </c:pt>
                <c:pt idx="2">
                  <c:v>1.3 A</c:v>
                </c:pt>
                <c:pt idx="3">
                  <c:v>1.3 B</c:v>
                </c:pt>
                <c:pt idx="4">
                  <c:v>2.1</c:v>
                </c:pt>
                <c:pt idx="5">
                  <c:v>2.2</c:v>
                </c:pt>
                <c:pt idx="6">
                  <c:v>2.3</c:v>
                </c:pt>
              </c:strCache>
            </c:strRef>
          </c:cat>
          <c:val>
            <c:numRef>
              <c:f>'Performance per Problem'!$K$5:$K$11</c:f>
              <c:numCache>
                <c:formatCode>0%</c:formatCode>
                <c:ptCount val="7"/>
                <c:pt idx="0">
                  <c:v>0.22</c:v>
                </c:pt>
                <c:pt idx="1">
                  <c:v>0.5</c:v>
                </c:pt>
                <c:pt idx="2">
                  <c:v>0.38</c:v>
                </c:pt>
                <c:pt idx="3">
                  <c:v>0.32</c:v>
                </c:pt>
                <c:pt idx="4">
                  <c:v>0.82</c:v>
                </c:pt>
                <c:pt idx="5">
                  <c:v>0.64</c:v>
                </c:pt>
                <c:pt idx="6">
                  <c:v>0.88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1FD-4A35-9FB0-E50F9AB680DC}"/>
            </c:ext>
          </c:extLst>
        </c:ser>
        <c:ser>
          <c:idx val="1"/>
          <c:order val="1"/>
          <c:tx>
            <c:strRef>
              <c:f>'Performance per Problem'!$M$4</c:f>
              <c:strCache>
                <c:ptCount val="1"/>
                <c:pt idx="0">
                  <c:v>% Zeros</c:v>
                </c:pt>
              </c:strCache>
            </c:strRef>
          </c:tx>
          <c:spPr>
            <a:solidFill>
              <a:srgbClr val="C00000"/>
            </a:solidFill>
            <a:ln>
              <a:prstDash val="solid"/>
            </a:ln>
          </c:spPr>
          <c:invertIfNegative val="1"/>
          <c:cat>
            <c:strRef>
              <c:f>'Performance per Problem'!$A$5:$A$11</c:f>
              <c:strCache>
                <c:ptCount val="7"/>
                <c:pt idx="0">
                  <c:v>1.1</c:v>
                </c:pt>
                <c:pt idx="1">
                  <c:v>1.2</c:v>
                </c:pt>
                <c:pt idx="2">
                  <c:v>1.3 A</c:v>
                </c:pt>
                <c:pt idx="3">
                  <c:v>1.3 B</c:v>
                </c:pt>
                <c:pt idx="4">
                  <c:v>2.1</c:v>
                </c:pt>
                <c:pt idx="5">
                  <c:v>2.2</c:v>
                </c:pt>
                <c:pt idx="6">
                  <c:v>2.3</c:v>
                </c:pt>
              </c:strCache>
            </c:strRef>
          </c:cat>
          <c:val>
            <c:numRef>
              <c:f>'Performance per Problem'!$M$5:$M$11</c:f>
              <c:numCache>
                <c:formatCode>0%</c:formatCode>
                <c:ptCount val="7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0.18</c:v>
                </c:pt>
                <c:pt idx="5">
                  <c:v>0.36</c:v>
                </c:pt>
                <c:pt idx="6">
                  <c:v>0.12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1FD-4A35-9FB0-E50F9AB68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Quiz 1 score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'Class Summary'!$D$17</c:f>
              <c:strCache>
                <c:ptCount val="1"/>
                <c:pt idx="0">
                  <c:v># Students</c:v>
                </c:pt>
              </c:strCache>
            </c:strRef>
          </c:tx>
          <c:spPr>
            <a:solidFill>
              <a:srgbClr val="7F1D1D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'Class Summary'!$A$18:$A$22</c:f>
              <c:strCache>
                <c:ptCount val="5"/>
                <c:pt idx="0">
                  <c:v>0–9</c:v>
                </c:pt>
                <c:pt idx="1">
                  <c:v>10–19</c:v>
                </c:pt>
                <c:pt idx="2">
                  <c:v>20–29</c:v>
                </c:pt>
                <c:pt idx="3">
                  <c:v>30–39</c:v>
                </c:pt>
                <c:pt idx="4">
                  <c:v>40–50</c:v>
                </c:pt>
              </c:strCache>
            </c:strRef>
          </c:cat>
          <c:val>
            <c:numRef>
              <c:f>'Class Summary'!$D$18:$D$22</c:f>
              <c:numCache>
                <c:formatCode>0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12</c:v>
                </c:pt>
                <c:pt idx="3">
                  <c:v>10</c:v>
                </c:pt>
                <c:pt idx="4">
                  <c:v>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6F-47AA-A209-25D998E87B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Quiz 1 totals: observed vs. Gaussian curve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'Statistical Analysis'!$E$38</c:f>
              <c:strCache>
                <c:ptCount val="1"/>
                <c:pt idx="0">
                  <c:v>Observed students</c:v>
                </c:pt>
              </c:strCache>
            </c:strRef>
          </c:tx>
          <c:spPr>
            <a:solidFill>
              <a:srgbClr val="7F1D1D"/>
            </a:solidFill>
            <a:ln>
              <a:prstDash val="solid"/>
            </a:ln>
          </c:spPr>
          <c:invertIfNegative val="1"/>
          <c:cat>
            <c:strRef>
              <c:f>'Statistical Analysis'!$A$39:$A$48</c:f>
              <c:strCache>
                <c:ptCount val="10"/>
                <c:pt idx="0">
                  <c:v>0–5</c:v>
                </c:pt>
                <c:pt idx="1">
                  <c:v>5–10</c:v>
                </c:pt>
                <c:pt idx="2">
                  <c:v>10–15</c:v>
                </c:pt>
                <c:pt idx="3">
                  <c:v>15–20</c:v>
                </c:pt>
                <c:pt idx="4">
                  <c:v>20–25</c:v>
                </c:pt>
                <c:pt idx="5">
                  <c:v>25–30</c:v>
                </c:pt>
                <c:pt idx="6">
                  <c:v>30–35</c:v>
                </c:pt>
                <c:pt idx="7">
                  <c:v>35–40</c:v>
                </c:pt>
                <c:pt idx="8">
                  <c:v>40–45</c:v>
                </c:pt>
                <c:pt idx="9">
                  <c:v>45–50</c:v>
                </c:pt>
              </c:strCache>
            </c:strRef>
          </c:cat>
          <c:val>
            <c:numRef>
              <c:f>'Statistical Analysis'!$E$39:$E$48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9</c:v>
                </c:pt>
                <c:pt idx="6">
                  <c:v>2</c:v>
                </c:pt>
                <c:pt idx="7">
                  <c:v>8</c:v>
                </c:pt>
                <c:pt idx="8">
                  <c:v>14</c:v>
                </c:pt>
                <c:pt idx="9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91E-4694-906C-B5AC04BE1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'Statistical Analysis'!$F$38</c:f>
              <c:strCache>
                <c:ptCount val="1"/>
                <c:pt idx="0">
                  <c:v>Expected if Gaussian</c:v>
                </c:pt>
              </c:strCache>
            </c:strRef>
          </c:tx>
          <c:spPr>
            <a:ln w="28575">
              <a:solidFill>
                <a:srgbClr val="1F4E79"/>
              </a:solidFill>
              <a:prstDash val="solid"/>
            </a:ln>
          </c:spPr>
          <c:marker>
            <c:symbol val="none"/>
          </c:marker>
          <c:val>
            <c:numRef>
              <c:f>'Statistical Analysis'!$F$39:$F$48</c:f>
              <c:numCache>
                <c:formatCode>0.0</c:formatCode>
                <c:ptCount val="10"/>
                <c:pt idx="0">
                  <c:v>4.2976909854483963E-3</c:v>
                </c:pt>
                <c:pt idx="1">
                  <c:v>3.337664429748604E-2</c:v>
                </c:pt>
                <c:pt idx="2">
                  <c:v>0.19014186163854233</c:v>
                </c:pt>
                <c:pt idx="3">
                  <c:v>0.79487092615406485</c:v>
                </c:pt>
                <c:pt idx="4">
                  <c:v>2.4391456602686228</c:v>
                </c:pt>
                <c:pt idx="5">
                  <c:v>5.4956184282426639</c:v>
                </c:pt>
                <c:pt idx="6">
                  <c:v>9.0932861003177177</c:v>
                </c:pt>
                <c:pt idx="7">
                  <c:v>11.051132940054329</c:v>
                </c:pt>
                <c:pt idx="8">
                  <c:v>9.8649881767149221</c:v>
                </c:pt>
                <c:pt idx="9">
                  <c:v>6.4681074559739873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91E-4694-906C-B5AC04BE1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Students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9.5576633986928103E-2"/>
          <c:y val="0.15821082186902102"/>
          <c:w val="0.51832369281045754"/>
          <c:h val="6.3403099298475193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Normal Q–Q plot (points on the line = Gaussian)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Students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7F1D1D"/>
              </a:solidFill>
              <a:ln>
                <a:solidFill>
                  <a:srgbClr val="7F1D1D"/>
                </a:solidFill>
                <a:prstDash val="solid"/>
              </a:ln>
            </c:spPr>
          </c:marker>
          <c:xVal>
            <c:numRef>
              <c:f>'Statistical Analysis'!$T$15:$T$66</c:f>
              <c:numCache>
                <c:formatCode>0.0000</c:formatCode>
                <c:ptCount val="52"/>
                <c:pt idx="0">
                  <c:v>18.231883791252265</c:v>
                </c:pt>
                <c:pt idx="1">
                  <c:v>21.748258394023434</c:v>
                </c:pt>
                <c:pt idx="2">
                  <c:v>23.73778995014824</c:v>
                </c:pt>
                <c:pt idx="3">
                  <c:v>25.190041410839882</c:v>
                </c:pt>
                <c:pt idx="4">
                  <c:v>26.360355623458936</c:v>
                </c:pt>
                <c:pt idx="5">
                  <c:v>27.355499025981707</c:v>
                </c:pt>
                <c:pt idx="6">
                  <c:v>28.230876846797777</c:v>
                </c:pt>
                <c:pt idx="7">
                  <c:v>29.019160540533321</c:v>
                </c:pt>
                <c:pt idx="8">
                  <c:v>29.741340197345345</c:v>
                </c:pt>
                <c:pt idx="9">
                  <c:v>30.411764247633236</c:v>
                </c:pt>
                <c:pt idx="10">
                  <c:v>31.040716651248168</c:v>
                </c:pt>
                <c:pt idx="11">
                  <c:v>31.635851045165513</c:v>
                </c:pt>
                <c:pt idx="12">
                  <c:v>32.203042620579282</c:v>
                </c:pt>
                <c:pt idx="13">
                  <c:v>32.746921214938226</c:v>
                </c:pt>
                <c:pt idx="14">
                  <c:v>33.271219517957121</c:v>
                </c:pt>
                <c:pt idx="15">
                  <c:v>33.779008875811961</c:v>
                </c:pt>
                <c:pt idx="16">
                  <c:v>34.272864034721664</c:v>
                </c:pt>
                <c:pt idx="17">
                  <c:v>34.75498146458564</c:v>
                </c:pt>
                <c:pt idx="18">
                  <c:v>35.227266516839691</c:v>
                </c:pt>
                <c:pt idx="19">
                  <c:v>35.691399180248844</c:v>
                </c:pt>
                <c:pt idx="20">
                  <c:v>36.148884875748195</c:v>
                </c:pt>
                <c:pt idx="21">
                  <c:v>36.60109466217294</c:v>
                </c:pt>
                <c:pt idx="22">
                  <c:v>37.049297905572885</c:v>
                </c:pt>
                <c:pt idx="23">
                  <c:v>37.494689609496128</c:v>
                </c:pt>
                <c:pt idx="24">
                  <c:v>37.938414044775733</c:v>
                </c:pt>
                <c:pt idx="25">
                  <c:v>38.381585955224253</c:v>
                </c:pt>
                <c:pt idx="26">
                  <c:v>38.825310390503866</c:v>
                </c:pt>
                <c:pt idx="27">
                  <c:v>39.270702094427108</c:v>
                </c:pt>
                <c:pt idx="28">
                  <c:v>39.718905337827053</c:v>
                </c:pt>
                <c:pt idx="29">
                  <c:v>40.171115124251799</c:v>
                </c:pt>
                <c:pt idx="30">
                  <c:v>40.628600819751149</c:v>
                </c:pt>
                <c:pt idx="31">
                  <c:v>41.092733483160302</c:v>
                </c:pt>
                <c:pt idx="32">
                  <c:v>41.565018535414353</c:v>
                </c:pt>
                <c:pt idx="33">
                  <c:v>42.047135965278329</c:v>
                </c:pt>
                <c:pt idx="34">
                  <c:v>42.540991124188032</c:v>
                </c:pt>
                <c:pt idx="35">
                  <c:v>43.048780482042879</c:v>
                </c:pt>
                <c:pt idx="36">
                  <c:v>43.573078785061767</c:v>
                </c:pt>
                <c:pt idx="37">
                  <c:v>44.116957379420711</c:v>
                </c:pt>
                <c:pt idx="38">
                  <c:v>44.684148954834484</c:v>
                </c:pt>
                <c:pt idx="39">
                  <c:v>45.279283348751825</c:v>
                </c:pt>
                <c:pt idx="40">
                  <c:v>45.908235752366757</c:v>
                </c:pt>
                <c:pt idx="41">
                  <c:v>46.578659802654649</c:v>
                </c:pt>
                <c:pt idx="42">
                  <c:v>47.300839459466673</c:v>
                </c:pt>
                <c:pt idx="43">
                  <c:v>48.089123153202216</c:v>
                </c:pt>
                <c:pt idx="44">
                  <c:v>48.964500974018286</c:v>
                </c:pt>
                <c:pt idx="45">
                  <c:v>49.959644376541057</c:v>
                </c:pt>
                <c:pt idx="46">
                  <c:v>51.129958589160125</c:v>
                </c:pt>
                <c:pt idx="47">
                  <c:v>52.582210049851746</c:v>
                </c:pt>
                <c:pt idx="48">
                  <c:v>54.571741605976555</c:v>
                </c:pt>
                <c:pt idx="49">
                  <c:v>58.088116208747728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'Statistical Analysis'!$Q$15:$Q$66</c:f>
              <c:numCache>
                <c:formatCode>0</c:formatCode>
                <c:ptCount val="52"/>
                <c:pt idx="0">
                  <c:v>16</c:v>
                </c:pt>
                <c:pt idx="1">
                  <c:v>21</c:v>
                </c:pt>
                <c:pt idx="2">
                  <c:v>23</c:v>
                </c:pt>
                <c:pt idx="3">
                  <c:v>23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32</c:v>
                </c:pt>
                <c:pt idx="14">
                  <c:v>33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40</c:v>
                </c:pt>
                <c:pt idx="25">
                  <c:v>41</c:v>
                </c:pt>
                <c:pt idx="26">
                  <c:v>41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  <c:pt idx="33">
                  <c:v>43</c:v>
                </c:pt>
                <c:pt idx="34">
                  <c:v>44</c:v>
                </c:pt>
                <c:pt idx="35">
                  <c:v>44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  <c:pt idx="39">
                  <c:v>46</c:v>
                </c:pt>
                <c:pt idx="40">
                  <c:v>46</c:v>
                </c:pt>
                <c:pt idx="41">
                  <c:v>46</c:v>
                </c:pt>
                <c:pt idx="42">
                  <c:v>46</c:v>
                </c:pt>
                <c:pt idx="43">
                  <c:v>48</c:v>
                </c:pt>
                <c:pt idx="44">
                  <c:v>48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32-453F-8BD4-8B9BC2AA1D59}"/>
            </c:ext>
          </c:extLst>
        </c:ser>
        <c:ser>
          <c:idx val="1"/>
          <c:order val="1"/>
          <c:tx>
            <c:v>Gaussian line</c:v>
          </c:tx>
          <c:spPr>
            <a:ln>
              <a:solidFill>
                <a:srgbClr val="1F4E79"/>
              </a:solidFill>
              <a:prstDash val="dash"/>
            </a:ln>
          </c:spPr>
          <c:marker>
            <c:symbol val="none"/>
          </c:marker>
          <c:xVal>
            <c:numRef>
              <c:f>'Statistical Analysis'!$Y$37:$Y$38</c:f>
              <c:numCache>
                <c:formatCode>0.0</c:formatCode>
                <c:ptCount val="2"/>
                <c:pt idx="0">
                  <c:v>11.510161772516874</c:v>
                </c:pt>
                <c:pt idx="1">
                  <c:v>64.809838227483112</c:v>
                </c:pt>
              </c:numCache>
            </c:numRef>
          </c:xVal>
          <c:yVal>
            <c:numRef>
              <c:f>'Statistical Analysis'!$Z$37:$Z$38</c:f>
              <c:numCache>
                <c:formatCode>0.0</c:formatCode>
                <c:ptCount val="2"/>
                <c:pt idx="0">
                  <c:v>11.510161772516874</c:v>
                </c:pt>
                <c:pt idx="1">
                  <c:v>64.809838227483112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32-453F-8BD4-8B9BC2AA1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 expected if Gaussian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5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Actual score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504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16</xdr:row>
      <xdr:rowOff>0</xdr:rowOff>
    </xdr:from>
    <xdr:ext cx="504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11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36</xdr:row>
      <xdr:rowOff>0</xdr:rowOff>
    </xdr:from>
    <xdr:ext cx="6120000" cy="362211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54</xdr:row>
      <xdr:rowOff>0</xdr:rowOff>
    </xdr:from>
    <xdr:ext cx="468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2626"/>
    <pageSetUpPr fitToPage="1"/>
  </sheetPr>
  <dimension ref="A1:F31"/>
  <sheetViews>
    <sheetView showGridLines="0" tabSelected="1" workbookViewId="0">
      <selection sqref="A1:F1"/>
    </sheetView>
  </sheetViews>
  <sheetFormatPr defaultRowHeight="14.4" x14ac:dyDescent="0.3"/>
  <cols>
    <col min="1" max="1" width="26" customWidth="1"/>
    <col min="2" max="2" width="74" customWidth="1"/>
    <col min="3" max="6" width="4" customWidth="1"/>
  </cols>
  <sheetData>
    <row r="1" spans="1:6" ht="30" customHeight="1" x14ac:dyDescent="0.3">
      <c r="A1" s="67" t="s">
        <v>31</v>
      </c>
      <c r="B1" s="68"/>
      <c r="C1" s="68"/>
      <c r="D1" s="68"/>
      <c r="E1" s="68"/>
      <c r="F1" s="68"/>
    </row>
    <row r="2" spans="1:6" ht="28.05" customHeight="1" x14ac:dyDescent="0.3">
      <c r="A2" s="61" t="s">
        <v>32</v>
      </c>
      <c r="B2" s="62"/>
      <c r="C2" s="62"/>
      <c r="D2" s="62"/>
      <c r="E2" s="62"/>
      <c r="F2" s="62"/>
    </row>
    <row r="4" spans="1:6" ht="22.05" customHeight="1" x14ac:dyDescent="0.3">
      <c r="A4" s="69" t="s">
        <v>33</v>
      </c>
      <c r="B4" s="62"/>
    </row>
    <row r="5" spans="1:6" ht="30" customHeight="1" x14ac:dyDescent="0.3">
      <c r="A5" s="1" t="s">
        <v>34</v>
      </c>
      <c r="B5" s="2" t="s">
        <v>35</v>
      </c>
    </row>
    <row r="6" spans="1:6" ht="30" customHeight="1" x14ac:dyDescent="0.3">
      <c r="A6" s="1" t="s">
        <v>36</v>
      </c>
      <c r="B6" s="2" t="s">
        <v>37</v>
      </c>
    </row>
    <row r="7" spans="1:6" ht="30" customHeight="1" x14ac:dyDescent="0.3">
      <c r="A7" s="1" t="s">
        <v>38</v>
      </c>
      <c r="B7" s="2" t="s">
        <v>39</v>
      </c>
    </row>
    <row r="8" spans="1:6" ht="30" customHeight="1" x14ac:dyDescent="0.3">
      <c r="A8" s="1" t="s">
        <v>40</v>
      </c>
      <c r="B8" s="2" t="s">
        <v>41</v>
      </c>
    </row>
    <row r="9" spans="1:6" ht="30" customHeight="1" x14ac:dyDescent="0.3">
      <c r="A9" s="1" t="s">
        <v>42</v>
      </c>
      <c r="B9" s="2" t="s">
        <v>43</v>
      </c>
    </row>
    <row r="10" spans="1:6" ht="30" customHeight="1" x14ac:dyDescent="0.3">
      <c r="A10" s="1" t="s">
        <v>44</v>
      </c>
      <c r="B10" s="2" t="s">
        <v>45</v>
      </c>
    </row>
    <row r="12" spans="1:6" ht="22.05" customHeight="1" x14ac:dyDescent="0.3">
      <c r="A12" s="69" t="s">
        <v>46</v>
      </c>
      <c r="B12" s="62"/>
    </row>
    <row r="13" spans="1:6" x14ac:dyDescent="0.3">
      <c r="A13" s="3" t="s">
        <v>47</v>
      </c>
      <c r="B13" s="2" t="s">
        <v>48</v>
      </c>
    </row>
    <row r="14" spans="1:6" x14ac:dyDescent="0.3">
      <c r="A14" s="4" t="s">
        <v>49</v>
      </c>
      <c r="B14" s="2" t="s">
        <v>50</v>
      </c>
    </row>
    <row r="15" spans="1:6" x14ac:dyDescent="0.3">
      <c r="A15" s="5" t="s">
        <v>51</v>
      </c>
      <c r="B15" s="2" t="s">
        <v>52</v>
      </c>
    </row>
    <row r="16" spans="1:6" ht="26.4" x14ac:dyDescent="0.3">
      <c r="A16" s="6" t="s">
        <v>53</v>
      </c>
      <c r="B16" s="2" t="s">
        <v>54</v>
      </c>
    </row>
    <row r="17" spans="1:2" x14ac:dyDescent="0.3">
      <c r="A17" s="7" t="s">
        <v>55</v>
      </c>
      <c r="B17" s="2" t="s">
        <v>56</v>
      </c>
    </row>
    <row r="19" spans="1:2" ht="22.05" customHeight="1" x14ac:dyDescent="0.3">
      <c r="A19" s="69" t="s">
        <v>57</v>
      </c>
      <c r="B19" s="62"/>
    </row>
    <row r="20" spans="1:2" ht="30" customHeight="1" x14ac:dyDescent="0.3">
      <c r="A20" s="1" t="s">
        <v>58</v>
      </c>
      <c r="B20" s="2" t="s">
        <v>59</v>
      </c>
    </row>
    <row r="21" spans="1:2" ht="30" customHeight="1" x14ac:dyDescent="0.3">
      <c r="A21" s="1" t="s">
        <v>60</v>
      </c>
      <c r="B21" s="2" t="s">
        <v>61</v>
      </c>
    </row>
    <row r="22" spans="1:2" ht="30" customHeight="1" x14ac:dyDescent="0.3">
      <c r="A22" s="1" t="s">
        <v>62</v>
      </c>
      <c r="B22" s="2" t="s">
        <v>63</v>
      </c>
    </row>
    <row r="23" spans="1:2" ht="30" customHeight="1" x14ac:dyDescent="0.3">
      <c r="A23" s="1" t="s">
        <v>64</v>
      </c>
      <c r="B23" s="2" t="s">
        <v>65</v>
      </c>
    </row>
    <row r="24" spans="1:2" ht="30" customHeight="1" x14ac:dyDescent="0.3">
      <c r="A24" s="1" t="s">
        <v>66</v>
      </c>
      <c r="B24" s="2" t="s">
        <v>67</v>
      </c>
    </row>
    <row r="25" spans="1:2" ht="30" customHeight="1" x14ac:dyDescent="0.3">
      <c r="A25" s="1" t="s">
        <v>68</v>
      </c>
      <c r="B25" s="2" t="s">
        <v>69</v>
      </c>
    </row>
    <row r="27" spans="1:2" ht="22.05" customHeight="1" x14ac:dyDescent="0.3">
      <c r="A27" s="69" t="s">
        <v>70</v>
      </c>
      <c r="B27" s="62"/>
    </row>
    <row r="28" spans="1:2" ht="42" customHeight="1" x14ac:dyDescent="0.3">
      <c r="A28" s="1" t="s">
        <v>7</v>
      </c>
      <c r="B28" s="2" t="s">
        <v>71</v>
      </c>
    </row>
    <row r="29" spans="1:2" ht="42" customHeight="1" x14ac:dyDescent="0.3">
      <c r="A29" s="1" t="s">
        <v>72</v>
      </c>
      <c r="B29" s="2" t="s">
        <v>73</v>
      </c>
    </row>
    <row r="30" spans="1:2" ht="42" customHeight="1" x14ac:dyDescent="0.3">
      <c r="A30" s="1" t="s">
        <v>2</v>
      </c>
      <c r="B30" s="2" t="s">
        <v>74</v>
      </c>
    </row>
    <row r="31" spans="1:2" ht="42" customHeight="1" x14ac:dyDescent="0.3">
      <c r="A31" s="1" t="s">
        <v>75</v>
      </c>
      <c r="B31" s="2" t="s">
        <v>76</v>
      </c>
    </row>
  </sheetData>
  <mergeCells count="6">
    <mergeCell ref="A4:B4"/>
    <mergeCell ref="A2:F2"/>
    <mergeCell ref="A19:B19"/>
    <mergeCell ref="A1:F1"/>
    <mergeCell ref="A27:B27"/>
    <mergeCell ref="A12:B12"/>
  </mergeCells>
  <printOptions horizontalCentered="1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597"/>
    <pageSetUpPr fitToPage="1"/>
  </sheetPr>
  <dimension ref="A1:I56"/>
  <sheetViews>
    <sheetView showGridLines="0" workbookViewId="0">
      <pane xSplit="4" ySplit="4" topLeftCell="E5" activePane="bottomRight" state="frozen"/>
      <selection pane="topRight"/>
      <selection pane="bottomLeft"/>
      <selection pane="bottomRight" sqref="A1:H1"/>
    </sheetView>
  </sheetViews>
  <sheetFormatPr defaultRowHeight="14.4" x14ac:dyDescent="0.3"/>
  <cols>
    <col min="1" max="1" width="5" customWidth="1"/>
    <col min="2" max="3" width="16" customWidth="1"/>
    <col min="4" max="4" width="24" customWidth="1"/>
    <col min="5" max="5" width="9" customWidth="1"/>
    <col min="6" max="6" width="24" customWidth="1"/>
    <col min="7" max="7" width="11" customWidth="1"/>
    <col min="8" max="8" width="9" customWidth="1"/>
    <col min="9" max="9" width="16" customWidth="1"/>
  </cols>
  <sheetData>
    <row r="1" spans="1:9" ht="30" customHeight="1" x14ac:dyDescent="0.3">
      <c r="A1" s="67" t="s">
        <v>77</v>
      </c>
      <c r="B1" s="68"/>
      <c r="C1" s="68"/>
      <c r="D1" s="68"/>
      <c r="E1" s="68"/>
      <c r="F1" s="68"/>
      <c r="G1" s="68"/>
      <c r="H1" s="68"/>
    </row>
    <row r="2" spans="1:9" ht="28.05" customHeight="1" x14ac:dyDescent="0.3">
      <c r="A2" s="61" t="s">
        <v>78</v>
      </c>
      <c r="B2" s="62"/>
      <c r="C2" s="62"/>
      <c r="D2" s="62"/>
      <c r="E2" s="62"/>
      <c r="F2" s="62"/>
      <c r="G2" s="62"/>
      <c r="H2" s="62"/>
    </row>
    <row r="4" spans="1:9" ht="31.95" customHeight="1" x14ac:dyDescent="0.3">
      <c r="A4" s="8" t="s">
        <v>9</v>
      </c>
      <c r="B4" s="8" t="s">
        <v>79</v>
      </c>
      <c r="C4" s="8" t="s">
        <v>80</v>
      </c>
      <c r="D4" s="8" t="s">
        <v>81</v>
      </c>
      <c r="E4" s="8" t="s">
        <v>82</v>
      </c>
      <c r="F4" s="8" t="s">
        <v>83</v>
      </c>
      <c r="G4" s="8" t="s">
        <v>84</v>
      </c>
      <c r="H4" s="8" t="s">
        <v>85</v>
      </c>
      <c r="I4" s="8" t="inlineStr">
        <is>
          <t>Group key (helper — do not edit)</t>
        </is>
      </c>
    </row>
    <row r="5" spans="1:9" x14ac:dyDescent="0.3">
      <c r="A5" s="9">
        <v>1</v>
      </c>
      <c r="B5" s="4" t="s">
        <v>86</v>
      </c>
      <c r="C5" s="4" t="s">
        <v>87</v>
      </c>
      <c r="D5" s="4" t="str">
        <f t="shared" ref="D5:D36" si="0">TRIM(C5&amp;" "&amp;B5)</f>
        <v>David Abagwe</v>
      </c>
      <c r="E5" s="10" t="inlineStr">
        <is>
          <t>5A</t>
        </is>
      </c>
      <c r="F5" s="4" t="str">
        <f>IF(E5="","Unassigned",IFERROR(IF(INDEX(Groups!$B$5:$B$17,MATCH(E5,Groups!$A$5:$A$17,0))="","Track not set",INDEX(Groups!$B$5:$B$17,MATCH(E5,Groups!$A$5:$A$17,0))),"Group not in table"))</f>
        <v>Methylene Blue Removal</v>
      </c>
      <c r="G5" s="11">
        <f>IFERROR(IF(INDEX('Quiz 1 Grades'!$P$7:$P$58,MATCH($A5,'Quiz 1 Grades'!$A$7:$A$58,0))="Graded",INDEX('Quiz 1 Grades'!$L$7:$L$58,MATCH($A5,'Quiz 1 Grades'!$A$7:$A$58,0)),INDEX('Quiz 1 Grades'!$P$7:$P$58,MATCH($A5,'Quiz 1 Grades'!$A$7:$A$58,0))),"")</f>
        <v>44</v>
      </c>
      <c r="H5" s="12">
        <f>IF(ISNUMBER(G5),G5/'Quiz 1 Grades'!$L$5,"")</f>
        <v>0.88</v>
      </c>
      <c r="I5" s="9" t="str">
        <f>IF(E5="","",E5&amp;"#"&amp;SUMPRODUCT(($E$5:E5=E5)*1))</f>
        <v>5A#1</v>
      </c>
    </row>
    <row r="6" spans="1:9" x14ac:dyDescent="0.3">
      <c r="A6" s="9">
        <v>2</v>
      </c>
      <c r="B6" s="4" t="s">
        <v>88</v>
      </c>
      <c r="C6" s="4" t="s">
        <v>89</v>
      </c>
      <c r="D6" s="4" t="str">
        <f t="shared" si="0"/>
        <v>Sonu Acharya</v>
      </c>
      <c r="E6" s="10" t="inlineStr">
        <is>
          <t>1A</t>
        </is>
      </c>
      <c r="F6" s="4" t="str">
        <f>IF(E6="","Unassigned",IFERROR(IF(INDEX(Groups!$B$5:$B$17,MATCH(E6,Groups!$A$5:$A$17,0))="","Track not set",INDEX(Groups!$B$5:$B$17,MATCH(E6,Groups!$A$5:$A$17,0))),"Group not in table"))</f>
        <v>Methylene Blue Removal</v>
      </c>
      <c r="G6" s="11">
        <f>IFERROR(IF(INDEX('Quiz 1 Grades'!$P$7:$P$58,MATCH($A6,'Quiz 1 Grades'!$A$7:$A$58,0))="Graded",INDEX('Quiz 1 Grades'!$L$7:$L$58,MATCH($A6,'Quiz 1 Grades'!$A$7:$A$58,0)),INDEX('Quiz 1 Grades'!$P$7:$P$58,MATCH($A6,'Quiz 1 Grades'!$A$7:$A$58,0))),"")</f>
        <v>21</v>
      </c>
      <c r="H6" s="12">
        <f>IF(ISNUMBER(G6),G6/'Quiz 1 Grades'!$L$5,"")</f>
        <v>0.42</v>
      </c>
      <c r="I6" s="9" t="str">
        <f>IF(E6="","",E6&amp;"#"&amp;SUMPRODUCT(($E$5:E6=E6)*1))</f>
        <v>1A#1</v>
      </c>
    </row>
    <row r="7" spans="1:9" x14ac:dyDescent="0.3">
      <c r="A7" s="9">
        <v>3</v>
      </c>
      <c r="B7" s="4" t="s">
        <v>90</v>
      </c>
      <c r="C7" s="4" t="s">
        <v>91</v>
      </c>
      <c r="D7" s="4" t="str">
        <f t="shared" si="0"/>
        <v>Ashton Adams</v>
      </c>
      <c r="E7" s="10" t="inlineStr">
        <is>
          <t>4B</t>
        </is>
      </c>
      <c r="F7" s="4" t="str">
        <f>IF(E7="","Unassigned",IFERROR(IF(INDEX(Groups!$B$5:$B$17,MATCH(E7,Groups!$A$5:$A$17,0))="","Track not set",INDEX(Groups!$B$5:$B$17,MATCH(E7,Groups!$A$5:$A$17,0))),"Group not in table"))</f>
        <v>Oxygenation</v>
      </c>
      <c r="G7" s="11">
        <f>IFERROR(IF(INDEX('Quiz 1 Grades'!$P$7:$P$58,MATCH($A7,'Quiz 1 Grades'!$A$7:$A$58,0))="Graded",INDEX('Quiz 1 Grades'!$L$7:$L$58,MATCH($A7,'Quiz 1 Grades'!$A$7:$A$58,0)),INDEX('Quiz 1 Grades'!$P$7:$P$58,MATCH($A7,'Quiz 1 Grades'!$A$7:$A$58,0))),"")</f>
        <v>43</v>
      </c>
      <c r="H7" s="12">
        <f>IF(ISNUMBER(G7),G7/'Quiz 1 Grades'!$L$5,"")</f>
        <v>0.86</v>
      </c>
      <c r="I7" s="9" t="str">
        <f>IF(E7="","",E7&amp;"#"&amp;SUMPRODUCT(($E$5:E7=E7)*1))</f>
        <v>4B#1</v>
      </c>
    </row>
    <row r="8" spans="1:9" x14ac:dyDescent="0.3">
      <c r="A8" s="9">
        <v>4</v>
      </c>
      <c r="B8" s="4" t="s">
        <v>92</v>
      </c>
      <c r="C8" s="4" t="s">
        <v>93</v>
      </c>
      <c r="D8" s="4" t="str">
        <f t="shared" si="0"/>
        <v>Hayden Albert</v>
      </c>
      <c r="E8" s="10" t="inlineStr">
        <is>
          <t>1A</t>
        </is>
      </c>
      <c r="F8" s="4" t="str">
        <f>IF(E8="","Unassigned",IFERROR(IF(INDEX(Groups!$B$5:$B$17,MATCH(E8,Groups!$A$5:$A$17,0))="","Track not set",INDEX(Groups!$B$5:$B$17,MATCH(E8,Groups!$A$5:$A$17,0))),"Group not in table"))</f>
        <v>Methylene Blue Removal</v>
      </c>
      <c r="G8" s="11">
        <f>IFERROR(IF(INDEX('Quiz 1 Grades'!$P$7:$P$58,MATCH($A8,'Quiz 1 Grades'!$A$7:$A$58,0))="Graded",INDEX('Quiz 1 Grades'!$L$7:$L$58,MATCH($A8,'Quiz 1 Grades'!$A$7:$A$58,0)),INDEX('Quiz 1 Grades'!$P$7:$P$58,MATCH($A8,'Quiz 1 Grades'!$A$7:$A$58,0))),"")</f>
        <v>43</v>
      </c>
      <c r="H8" s="12">
        <f>IF(ISNUMBER(G8),G8/'Quiz 1 Grades'!$L$5,"")</f>
        <v>0.86</v>
      </c>
      <c r="I8" s="9" t="str">
        <f>IF(E8="","",E8&amp;"#"&amp;SUMPRODUCT(($E$5:E8=E8)*1))</f>
        <v>1A#2</v>
      </c>
    </row>
    <row r="9" spans="1:9" x14ac:dyDescent="0.3">
      <c r="A9" s="9">
        <v>5</v>
      </c>
      <c r="B9" s="4" t="s">
        <v>94</v>
      </c>
      <c r="C9" s="4" t="s">
        <v>95</v>
      </c>
      <c r="D9" s="4" t="str">
        <f t="shared" si="0"/>
        <v>Lani Allen</v>
      </c>
      <c r="E9" s="10" t="inlineStr">
        <is>
          <t>3B</t>
        </is>
      </c>
      <c r="F9" s="4" t="str">
        <f>IF(E9="","Unassigned",IFERROR(IF(INDEX(Groups!$B$5:$B$17,MATCH(E9,Groups!$A$5:$A$17,0))="","Track not set",INDEX(Groups!$B$5:$B$17,MATCH(E9,Groups!$A$5:$A$17,0))),"Group not in table"))</f>
        <v>Oxygenation</v>
      </c>
      <c r="G9" s="11">
        <f>IFERROR(IF(INDEX('Quiz 1 Grades'!$P$7:$P$58,MATCH($A9,'Quiz 1 Grades'!$A$7:$A$58,0))="Graded",INDEX('Quiz 1 Grades'!$L$7:$L$58,MATCH($A9,'Quiz 1 Grades'!$A$7:$A$58,0)),INDEX('Quiz 1 Grades'!$P$7:$P$58,MATCH($A9,'Quiz 1 Grades'!$A$7:$A$58,0))),"")</f>
        <v>50</v>
      </c>
      <c r="H9" s="12">
        <f>IF(ISNUMBER(G9),G9/'Quiz 1 Grades'!$L$5,"")</f>
        <v>1</v>
      </c>
      <c r="I9" s="9" t="str">
        <f>IF(E9="","",E9&amp;"#"&amp;SUMPRODUCT(($E$5:E9=E9)*1))</f>
        <v>3B#1</v>
      </c>
    </row>
    <row r="10" spans="1:9" x14ac:dyDescent="0.3">
      <c r="A10" s="9">
        <v>6</v>
      </c>
      <c r="B10" s="4" t="s">
        <v>96</v>
      </c>
      <c r="C10" s="4" t="s">
        <v>97</v>
      </c>
      <c r="D10" s="4" t="str">
        <f t="shared" si="0"/>
        <v>John David Andrade</v>
      </c>
      <c r="E10" s="10" t="inlineStr">
        <is>
          <t>4A</t>
        </is>
      </c>
      <c r="F10" s="4" t="str">
        <f>IF(E10="","Unassigned",IFERROR(IF(INDEX(Groups!$B$5:$B$17,MATCH(E10,Groups!$A$5:$A$17,0))="","Track not set",INDEX(Groups!$B$5:$B$17,MATCH(E10,Groups!$A$5:$A$17,0))),"Group not in table"))</f>
        <v>Methylene Blue Removal</v>
      </c>
      <c r="G10" s="11">
        <f>IFERROR(IF(INDEX('Quiz 1 Grades'!$P$7:$P$58,MATCH($A10,'Quiz 1 Grades'!$A$7:$A$58,0))="Graded",INDEX('Quiz 1 Grades'!$L$7:$L$58,MATCH($A10,'Quiz 1 Grades'!$A$7:$A$58,0)),INDEX('Quiz 1 Grades'!$P$7:$P$58,MATCH($A10,'Quiz 1 Grades'!$A$7:$A$58,0))),"")</f>
        <v>32</v>
      </c>
      <c r="H10" s="12">
        <f>IF(ISNUMBER(G10),G10/'Quiz 1 Grades'!$L$5,"")</f>
        <v>0.64</v>
      </c>
      <c r="I10" s="9" t="str">
        <f>IF(E10="","",E10&amp;"#"&amp;SUMPRODUCT(($E$5:E10=E10)*1))</f>
        <v>4A#1</v>
      </c>
    </row>
    <row r="11" spans="1:9" x14ac:dyDescent="0.3">
      <c r="A11" s="9">
        <v>7</v>
      </c>
      <c r="B11" s="4" t="s">
        <v>98</v>
      </c>
      <c r="C11" s="4" t="s">
        <v>99</v>
      </c>
      <c r="D11" s="4" t="str">
        <f t="shared" si="0"/>
        <v>Landon Atkins</v>
      </c>
      <c r="E11" s="10" t="inlineStr">
        <is>
          <t>3A</t>
        </is>
      </c>
      <c r="F11" s="4" t="str">
        <f>IF(E11="","Unassigned",IFERROR(IF(INDEX(Groups!$B$5:$B$17,MATCH(E11,Groups!$A$5:$A$17,0))="","Track not set",INDEX(Groups!$B$5:$B$17,MATCH(E11,Groups!$A$5:$A$17,0))),"Group not in table"))</f>
        <v>Methylene Blue Removal</v>
      </c>
      <c r="G11" s="11">
        <f>IFERROR(IF(INDEX('Quiz 1 Grades'!$P$7:$P$58,MATCH($A11,'Quiz 1 Grades'!$A$7:$A$58,0))="Graded",INDEX('Quiz 1 Grades'!$L$7:$L$58,MATCH($A11,'Quiz 1 Grades'!$A$7:$A$58,0)),INDEX('Quiz 1 Grades'!$P$7:$P$58,MATCH($A11,'Quiz 1 Grades'!$A$7:$A$58,0))),"")</f>
        <v>26</v>
      </c>
      <c r="H11" s="12">
        <f>IF(ISNUMBER(G11),G11/'Quiz 1 Grades'!$L$5,"")</f>
        <v>0.52</v>
      </c>
      <c r="I11" s="9" t="str">
        <f>IF(E11="","",E11&amp;"#"&amp;SUMPRODUCT(($E$5:E11=E11)*1))</f>
        <v>3A#1</v>
      </c>
    </row>
    <row r="12" spans="1:9" x14ac:dyDescent="0.3">
      <c r="A12" s="9">
        <v>8</v>
      </c>
      <c r="B12" s="4" t="s">
        <v>100</v>
      </c>
      <c r="C12" s="4" t="s">
        <v>101</v>
      </c>
      <c r="D12" s="4" t="str">
        <f t="shared" si="0"/>
        <v>Ryan Borkland</v>
      </c>
      <c r="E12" s="10" t="inlineStr">
        <is>
          <t>1B</t>
        </is>
      </c>
      <c r="F12" s="4" t="str">
        <f>IF(E12="","Unassigned",IFERROR(IF(INDEX(Groups!$B$5:$B$17,MATCH(E12,Groups!$A$5:$A$17,0))="","Track not set",INDEX(Groups!$B$5:$B$17,MATCH(E12,Groups!$A$5:$A$17,0))),"Group not in table"))</f>
        <v>Oxygenation</v>
      </c>
      <c r="G12" s="11">
        <f>IFERROR(IF(INDEX('Quiz 1 Grades'!$P$7:$P$58,MATCH($A12,'Quiz 1 Grades'!$A$7:$A$58,0))="Graded",INDEX('Quiz 1 Grades'!$L$7:$L$58,MATCH($A12,'Quiz 1 Grades'!$A$7:$A$58,0)),INDEX('Quiz 1 Grades'!$P$7:$P$58,MATCH($A12,'Quiz 1 Grades'!$A$7:$A$58,0))),"")</f>
        <v>46</v>
      </c>
      <c r="H12" s="12">
        <f>IF(ISNUMBER(G12),G12/'Quiz 1 Grades'!$L$5,"")</f>
        <v>0.92</v>
      </c>
      <c r="I12" s="9" t="str">
        <f>IF(E12="","",E12&amp;"#"&amp;SUMPRODUCT(($E$5:E12=E12)*1))</f>
        <v>1B#1</v>
      </c>
    </row>
    <row r="13" spans="1:9" x14ac:dyDescent="0.3">
      <c r="A13" s="9">
        <v>9</v>
      </c>
      <c r="B13" s="4" t="s">
        <v>102</v>
      </c>
      <c r="C13" s="4" t="s">
        <v>103</v>
      </c>
      <c r="D13" s="4" t="str">
        <f t="shared" si="0"/>
        <v>Jermy Brown</v>
      </c>
      <c r="E13" s="10" t="inlineStr">
        <is>
          <t>4A</t>
        </is>
      </c>
      <c r="F13" s="4" t="str">
        <f>IF(E13="","Unassigned",IFERROR(IF(INDEX(Groups!$B$5:$B$17,MATCH(E13,Groups!$A$5:$A$17,0))="","Track not set",INDEX(Groups!$B$5:$B$17,MATCH(E13,Groups!$A$5:$A$17,0))),"Group not in table"))</f>
        <v>Methylene Blue Removal</v>
      </c>
      <c r="G13" s="11">
        <f>IFERROR(IF(INDEX('Quiz 1 Grades'!$P$7:$P$58,MATCH($A13,'Quiz 1 Grades'!$A$7:$A$58,0))="Graded",INDEX('Quiz 1 Grades'!$L$7:$L$58,MATCH($A13,'Quiz 1 Grades'!$A$7:$A$58,0)),INDEX('Quiz 1 Grades'!$P$7:$P$58,MATCH($A13,'Quiz 1 Grades'!$A$7:$A$58,0))),"")</f>
        <v>44</v>
      </c>
      <c r="H13" s="12">
        <f>IF(ISNUMBER(G13),G13/'Quiz 1 Grades'!$L$5,"")</f>
        <v>0.88</v>
      </c>
      <c r="I13" s="9" t="str">
        <f>IF(E13="","",E13&amp;"#"&amp;SUMPRODUCT(($E$5:E13=E13)*1))</f>
        <v>4A#2</v>
      </c>
    </row>
    <row r="14" spans="1:9" x14ac:dyDescent="0.3">
      <c r="A14" s="9">
        <v>10</v>
      </c>
      <c r="B14" s="4" t="s">
        <v>104</v>
      </c>
      <c r="C14" s="4" t="s">
        <v>105</v>
      </c>
      <c r="D14" s="4" t="str">
        <f t="shared" si="0"/>
        <v>Eric Calderon</v>
      </c>
      <c r="E14" s="10" t="inlineStr">
        <is>
          <t>1B</t>
        </is>
      </c>
      <c r="F14" s="4" t="str">
        <f>IF(E14="","Unassigned",IFERROR(IF(INDEX(Groups!$B$5:$B$17,MATCH(E14,Groups!$A$5:$A$17,0))="","Track not set",INDEX(Groups!$B$5:$B$17,MATCH(E14,Groups!$A$5:$A$17,0))),"Group not in table"))</f>
        <v>Oxygenation</v>
      </c>
      <c r="G14" s="11">
        <f>IFERROR(IF(INDEX('Quiz 1 Grades'!$P$7:$P$58,MATCH($A14,'Quiz 1 Grades'!$A$7:$A$58,0))="Graded",INDEX('Quiz 1 Grades'!$L$7:$L$58,MATCH($A14,'Quiz 1 Grades'!$A$7:$A$58,0)),INDEX('Quiz 1 Grades'!$P$7:$P$58,MATCH($A14,'Quiz 1 Grades'!$A$7:$A$58,0))),"")</f>
        <v>38</v>
      </c>
      <c r="H14" s="12">
        <f>IF(ISNUMBER(G14),G14/'Quiz 1 Grades'!$L$5,"")</f>
        <v>0.76</v>
      </c>
      <c r="I14" s="9" t="str">
        <f>IF(E14="","",E14&amp;"#"&amp;SUMPRODUCT(($E$5:E14=E14)*1))</f>
        <v>1B#2</v>
      </c>
    </row>
    <row r="15" spans="1:9" x14ac:dyDescent="0.3">
      <c r="A15" s="9">
        <v>11</v>
      </c>
      <c r="B15" s="4" t="s">
        <v>106</v>
      </c>
      <c r="C15" s="4" t="s">
        <v>107</v>
      </c>
      <c r="D15" s="4" t="str">
        <f t="shared" si="0"/>
        <v>Angel Camarillo</v>
      </c>
      <c r="E15" s="10" t="inlineStr">
        <is>
          <t>5A</t>
        </is>
      </c>
      <c r="F15" s="4" t="str">
        <f>IF(E15="","Unassigned",IFERROR(IF(INDEX(Groups!$B$5:$B$17,MATCH(E15,Groups!$A$5:$A$17,0))="","Track not set",INDEX(Groups!$B$5:$B$17,MATCH(E15,Groups!$A$5:$A$17,0))),"Group not in table"))</f>
        <v>Methylene Blue Removal</v>
      </c>
      <c r="G15" s="11">
        <f>IFERROR(IF(INDEX('Quiz 1 Grades'!$P$7:$P$58,MATCH($A15,'Quiz 1 Grades'!$A$7:$A$58,0))="Graded",INDEX('Quiz 1 Grades'!$L$7:$L$58,MATCH($A15,'Quiz 1 Grades'!$A$7:$A$58,0)),INDEX('Quiz 1 Grades'!$P$7:$P$58,MATCH($A15,'Quiz 1 Grades'!$A$7:$A$58,0))),"")</f>
        <v>26</v>
      </c>
      <c r="H15" s="12">
        <f>IF(ISNUMBER(G15),G15/'Quiz 1 Grades'!$L$5,"")</f>
        <v>0.52</v>
      </c>
      <c r="I15" s="9" t="str">
        <f>IF(E15="","",E15&amp;"#"&amp;SUMPRODUCT(($E$5:E15=E15)*1))</f>
        <v>5A#2</v>
      </c>
    </row>
    <row r="16" spans="1:9" x14ac:dyDescent="0.3">
      <c r="A16" s="9">
        <v>12</v>
      </c>
      <c r="B16" s="4" t="s">
        <v>108</v>
      </c>
      <c r="C16" s="4" t="s">
        <v>109</v>
      </c>
      <c r="D16" s="4" t="str">
        <f t="shared" si="0"/>
        <v>Gavin Cappel</v>
      </c>
      <c r="E16" s="10" t="inlineStr">
        <is>
          <t>1B</t>
        </is>
      </c>
      <c r="F16" s="4" t="str">
        <f>IF(E16="","Unassigned",IFERROR(IF(INDEX(Groups!$B$5:$B$17,MATCH(E16,Groups!$A$5:$A$17,0))="","Track not set",INDEX(Groups!$B$5:$B$17,MATCH(E16,Groups!$A$5:$A$17,0))),"Group not in table"))</f>
        <v>Oxygenation</v>
      </c>
      <c r="G16" s="11" t="str">
        <f>IFERROR(IF(INDEX('Quiz 1 Grades'!$P$7:$P$58,MATCH($A16,'Quiz 1 Grades'!$A$7:$A$58,0))="Graded",INDEX('Quiz 1 Grades'!$L$7:$L$58,MATCH($A16,'Quiz 1 Grades'!$A$7:$A$58,0)),INDEX('Quiz 1 Grades'!$P$7:$P$58,MATCH($A16,'Quiz 1 Grades'!$A$7:$A$58,0))),"")</f>
        <v>Missing</v>
      </c>
      <c r="H16" s="12" t="str">
        <f>IF(ISNUMBER(G16),G16/'Quiz 1 Grades'!$L$5,"")</f>
        <v/>
      </c>
      <c r="I16" s="9" t="str">
        <f>IF(E16="","",E16&amp;"#"&amp;SUMPRODUCT(($E$5:E16=E16)*1))</f>
        <v>1B#3</v>
      </c>
    </row>
    <row r="17" spans="1:9" x14ac:dyDescent="0.3">
      <c r="A17" s="9">
        <v>13</v>
      </c>
      <c r="B17" s="4" t="s">
        <v>110</v>
      </c>
      <c r="C17" s="4" t="s">
        <v>111</v>
      </c>
      <c r="D17" s="4" t="str">
        <f t="shared" si="0"/>
        <v>Venditha Chelikani</v>
      </c>
      <c r="E17" s="10" t="inlineStr">
        <is>
          <t>2B</t>
        </is>
      </c>
      <c r="F17" s="4" t="str">
        <f>IF(E17="","Unassigned",IFERROR(IF(INDEX(Groups!$B$5:$B$17,MATCH(E17,Groups!$A$5:$A$17,0))="","Track not set",INDEX(Groups!$B$5:$B$17,MATCH(E17,Groups!$A$5:$A$17,0))),"Group not in table"))</f>
        <v>Oxygenation</v>
      </c>
      <c r="G17" s="11">
        <f>IFERROR(IF(INDEX('Quiz 1 Grades'!$P$7:$P$58,MATCH($A17,'Quiz 1 Grades'!$A$7:$A$58,0))="Graded",INDEX('Quiz 1 Grades'!$L$7:$L$58,MATCH($A17,'Quiz 1 Grades'!$A$7:$A$58,0)),INDEX('Quiz 1 Grades'!$P$7:$P$58,MATCH($A17,'Quiz 1 Grades'!$A$7:$A$58,0))),"")</f>
        <v>48</v>
      </c>
      <c r="H17" s="12">
        <f>IF(ISNUMBER(G17),G17/'Quiz 1 Grades'!$L$5,"")</f>
        <v>0.96</v>
      </c>
      <c r="I17" s="9" t="str">
        <f>IF(E17="","",E17&amp;"#"&amp;SUMPRODUCT(($E$5:E17=E17)*1))</f>
        <v>2B#1</v>
      </c>
    </row>
    <row r="18" spans="1:9" x14ac:dyDescent="0.3">
      <c r="A18" s="9">
        <v>14</v>
      </c>
      <c r="B18" s="4" t="s">
        <v>112</v>
      </c>
      <c r="C18" s="4" t="s">
        <v>113</v>
      </c>
      <c r="D18" s="4" t="str">
        <f t="shared" si="0"/>
        <v>Brisa Colunga</v>
      </c>
      <c r="E18" s="10" t="inlineStr">
        <is>
          <t>5B</t>
        </is>
      </c>
      <c r="F18" s="4" t="str">
        <f>IF(E18="","Unassigned",IFERROR(IF(INDEX(Groups!$B$5:$B$17,MATCH(E18,Groups!$A$5:$A$17,0))="","Track not set",INDEX(Groups!$B$5:$B$17,MATCH(E18,Groups!$A$5:$A$17,0))),"Group not in table"))</f>
        <v>Oxygenation</v>
      </c>
      <c r="G18" s="11">
        <f>IFERROR(IF(INDEX('Quiz 1 Grades'!$P$7:$P$58,MATCH($A18,'Quiz 1 Grades'!$A$7:$A$58,0))="Graded",INDEX('Quiz 1 Grades'!$L$7:$L$58,MATCH($A18,'Quiz 1 Grades'!$A$7:$A$58,0)),INDEX('Quiz 1 Grades'!$P$7:$P$58,MATCH($A18,'Quiz 1 Grades'!$A$7:$A$58,0))),"")</f>
        <v>43</v>
      </c>
      <c r="H18" s="12">
        <f>IF(ISNUMBER(G18),G18/'Quiz 1 Grades'!$L$5,"")</f>
        <v>0.86</v>
      </c>
      <c r="I18" s="9" t="str">
        <f>IF(E18="","",E18&amp;"#"&amp;SUMPRODUCT(($E$5:E18=E18)*1))</f>
        <v>5B#1</v>
      </c>
    </row>
    <row r="19" spans="1:9" x14ac:dyDescent="0.3">
      <c r="A19" s="9">
        <v>15</v>
      </c>
      <c r="B19" s="4" t="s">
        <v>114</v>
      </c>
      <c r="C19" s="4" t="s">
        <v>115</v>
      </c>
      <c r="D19" s="4" t="str">
        <f t="shared" si="0"/>
        <v>Axel Cruz-Hernandez</v>
      </c>
      <c r="E19" s="10" t="inlineStr">
        <is>
          <t>3A</t>
        </is>
      </c>
      <c r="F19" s="4" t="str">
        <f>IF(E19="","Unassigned",IFERROR(IF(INDEX(Groups!$B$5:$B$17,MATCH(E19,Groups!$A$5:$A$17,0))="","Track not set",INDEX(Groups!$B$5:$B$17,MATCH(E19,Groups!$A$5:$A$17,0))),"Group not in table"))</f>
        <v>Methylene Blue Removal</v>
      </c>
      <c r="G19" s="11">
        <f>IFERROR(IF(INDEX('Quiz 1 Grades'!$P$7:$P$58,MATCH($A19,'Quiz 1 Grades'!$A$7:$A$58,0))="Graded",INDEX('Quiz 1 Grades'!$L$7:$L$58,MATCH($A19,'Quiz 1 Grades'!$A$7:$A$58,0)),INDEX('Quiz 1 Grades'!$P$7:$P$58,MATCH($A19,'Quiz 1 Grades'!$A$7:$A$58,0))),"")</f>
        <v>29</v>
      </c>
      <c r="H19" s="12">
        <f>IF(ISNUMBER(G19),G19/'Quiz 1 Grades'!$L$5,"")</f>
        <v>0.57999999999999996</v>
      </c>
      <c r="I19" s="9" t="str">
        <f>IF(E19="","",E19&amp;"#"&amp;SUMPRODUCT(($E$5:E19=E19)*1))</f>
        <v>3A#2</v>
      </c>
    </row>
    <row r="20" spans="1:9" x14ac:dyDescent="0.3">
      <c r="A20" s="9">
        <v>16</v>
      </c>
      <c r="B20" s="4" t="s">
        <v>116</v>
      </c>
      <c r="C20" s="4" t="s">
        <v>117</v>
      </c>
      <c r="D20" s="4" t="str">
        <f t="shared" si="0"/>
        <v>Devin Cuellar</v>
      </c>
      <c r="E20" s="10" t="inlineStr">
        <is>
          <t>4A</t>
        </is>
      </c>
      <c r="F20" s="4" t="str">
        <f>IF(E20="","Unassigned",IFERROR(IF(INDEX(Groups!$B$5:$B$17,MATCH(E20,Groups!$A$5:$A$17,0))="","Track not set",INDEX(Groups!$B$5:$B$17,MATCH(E20,Groups!$A$5:$A$17,0))),"Group not in table"))</f>
        <v>Methylene Blue Removal</v>
      </c>
      <c r="G20" s="11">
        <f>IFERROR(IF(INDEX('Quiz 1 Grades'!$P$7:$P$58,MATCH($A20,'Quiz 1 Grades'!$A$7:$A$58,0))="Graded",INDEX('Quiz 1 Grades'!$L$7:$L$58,MATCH($A20,'Quiz 1 Grades'!$A$7:$A$58,0)),INDEX('Quiz 1 Grades'!$P$7:$P$58,MATCH($A20,'Quiz 1 Grades'!$A$7:$A$58,0))),"")</f>
        <v>43</v>
      </c>
      <c r="H20" s="12">
        <f>IF(ISNUMBER(G20),G20/'Quiz 1 Grades'!$L$5,"")</f>
        <v>0.86</v>
      </c>
      <c r="I20" s="9" t="str">
        <f>IF(E20="","",E20&amp;"#"&amp;SUMPRODUCT(($E$5:E20=E20)*1))</f>
        <v>4A#3</v>
      </c>
    </row>
    <row r="21" spans="1:9" x14ac:dyDescent="0.3">
      <c r="A21" s="9">
        <v>17</v>
      </c>
      <c r="B21" s="4" t="s">
        <v>116</v>
      </c>
      <c r="C21" s="4" t="s">
        <v>118</v>
      </c>
      <c r="D21" s="4" t="str">
        <f t="shared" si="0"/>
        <v>Mia Cuellar</v>
      </c>
      <c r="E21" s="10" t="inlineStr">
        <is>
          <t>3A</t>
        </is>
      </c>
      <c r="F21" s="4" t="str">
        <f>IF(E21="","Unassigned",IFERROR(IF(INDEX(Groups!$B$5:$B$17,MATCH(E21,Groups!$A$5:$A$17,0))="","Track not set",INDEX(Groups!$B$5:$B$17,MATCH(E21,Groups!$A$5:$A$17,0))),"Group not in table"))</f>
        <v>Methylene Blue Removal</v>
      </c>
      <c r="G21" s="11">
        <f>IFERROR(IF(INDEX('Quiz 1 Grades'!$P$7:$P$58,MATCH($A21,'Quiz 1 Grades'!$A$7:$A$58,0))="Graded",INDEX('Quiz 1 Grades'!$L$7:$L$58,MATCH($A21,'Quiz 1 Grades'!$A$7:$A$58,0)),INDEX('Quiz 1 Grades'!$P$7:$P$58,MATCH($A21,'Quiz 1 Grades'!$A$7:$A$58,0))),"")</f>
        <v>26</v>
      </c>
      <c r="H21" s="12">
        <f>IF(ISNUMBER(G21),G21/'Quiz 1 Grades'!$L$5,"")</f>
        <v>0.52</v>
      </c>
      <c r="I21" s="9" t="str">
        <f>IF(E21="","",E21&amp;"#"&amp;SUMPRODUCT(($E$5:E21=E21)*1))</f>
        <v>3A#3</v>
      </c>
    </row>
    <row r="22" spans="1:9" x14ac:dyDescent="0.3">
      <c r="A22" s="9">
        <v>18</v>
      </c>
      <c r="B22" s="4" t="s">
        <v>119</v>
      </c>
      <c r="C22" s="4" t="s">
        <v>120</v>
      </c>
      <c r="D22" s="4" t="str">
        <f t="shared" si="0"/>
        <v>Trevin Cutrer</v>
      </c>
      <c r="E22" s="10" t="inlineStr">
        <is>
          <t>2A</t>
        </is>
      </c>
      <c r="F22" s="4" t="str">
        <f>IF(E22="","Unassigned",IFERROR(IF(INDEX(Groups!$B$5:$B$17,MATCH(E22,Groups!$A$5:$A$17,0))="","Track not set",INDEX(Groups!$B$5:$B$17,MATCH(E22,Groups!$A$5:$A$17,0))),"Group not in table"))</f>
        <v>Methylene Blue Removal</v>
      </c>
      <c r="G22" s="11">
        <f>IFERROR(IF(INDEX('Quiz 1 Grades'!$P$7:$P$58,MATCH($A22,'Quiz 1 Grades'!$A$7:$A$58,0))="Graded",INDEX('Quiz 1 Grades'!$L$7:$L$58,MATCH($A22,'Quiz 1 Grades'!$A$7:$A$58,0)),INDEX('Quiz 1 Grades'!$P$7:$P$58,MATCH($A22,'Quiz 1 Grades'!$A$7:$A$58,0))),"")</f>
        <v>28</v>
      </c>
      <c r="H22" s="12">
        <f>IF(ISNUMBER(G22),G22/'Quiz 1 Grades'!$L$5,"")</f>
        <v>0.56000000000000005</v>
      </c>
      <c r="I22" s="9" t="str">
        <f>IF(E22="","",E22&amp;"#"&amp;SUMPRODUCT(($E$5:E22=E22)*1))</f>
        <v>2A#1</v>
      </c>
    </row>
    <row r="23" spans="1:9" x14ac:dyDescent="0.3">
      <c r="A23" s="9">
        <v>19</v>
      </c>
      <c r="B23" s="4" t="s">
        <v>121</v>
      </c>
      <c r="C23" s="4" t="s">
        <v>122</v>
      </c>
      <c r="D23" s="4" t="str">
        <f t="shared" si="0"/>
        <v>Elizabeth Dillah</v>
      </c>
      <c r="E23" s="10" t="inlineStr">
        <is>
          <t>1A</t>
        </is>
      </c>
      <c r="F23" s="4" t="str">
        <f>IF(E23="","Unassigned",IFERROR(IF(INDEX(Groups!$B$5:$B$17,MATCH(E23,Groups!$A$5:$A$17,0))="","Track not set",INDEX(Groups!$B$5:$B$17,MATCH(E23,Groups!$A$5:$A$17,0))),"Group not in table"))</f>
        <v>Methylene Blue Removal</v>
      </c>
      <c r="G23" s="11">
        <f>IFERROR(IF(INDEX('Quiz 1 Grades'!$P$7:$P$58,MATCH($A23,'Quiz 1 Grades'!$A$7:$A$58,0))="Graded",INDEX('Quiz 1 Grades'!$L$7:$L$58,MATCH($A23,'Quiz 1 Grades'!$A$7:$A$58,0)),INDEX('Quiz 1 Grades'!$P$7:$P$58,MATCH($A23,'Quiz 1 Grades'!$A$7:$A$58,0))),"")</f>
        <v>23</v>
      </c>
      <c r="H23" s="12">
        <f>IF(ISNUMBER(G23),G23/'Quiz 1 Grades'!$L$5,"")</f>
        <v>0.46</v>
      </c>
      <c r="I23" s="9" t="str">
        <f>IF(E23="","",E23&amp;"#"&amp;SUMPRODUCT(($E$5:E23=E23)*1))</f>
        <v>1A#3</v>
      </c>
    </row>
    <row r="24" spans="1:9" x14ac:dyDescent="0.3">
      <c r="A24" s="9">
        <v>20</v>
      </c>
      <c r="B24" s="4" t="s">
        <v>123</v>
      </c>
      <c r="C24" s="4" t="s">
        <v>124</v>
      </c>
      <c r="D24" s="4" t="str">
        <f t="shared" si="0"/>
        <v>Jack Elsas</v>
      </c>
      <c r="E24" s="10" t="inlineStr">
        <is>
          <t>3B</t>
        </is>
      </c>
      <c r="F24" s="4" t="str">
        <f>IF(E24="","Unassigned",IFERROR(IF(INDEX(Groups!$B$5:$B$17,MATCH(E24,Groups!$A$5:$A$17,0))="","Track not set",INDEX(Groups!$B$5:$B$17,MATCH(E24,Groups!$A$5:$A$17,0))),"Group not in table"))</f>
        <v>Oxygenation</v>
      </c>
      <c r="G24" s="11">
        <f>IFERROR(IF(INDEX('Quiz 1 Grades'!$P$7:$P$58,MATCH($A24,'Quiz 1 Grades'!$A$7:$A$58,0))="Graded",INDEX('Quiz 1 Grades'!$L$7:$L$58,MATCH($A24,'Quiz 1 Grades'!$A$7:$A$58,0)),INDEX('Quiz 1 Grades'!$P$7:$P$58,MATCH($A24,'Quiz 1 Grades'!$A$7:$A$58,0))),"")</f>
        <v>50</v>
      </c>
      <c r="H24" s="12">
        <f>IF(ISNUMBER(G24),G24/'Quiz 1 Grades'!$L$5,"")</f>
        <v>1</v>
      </c>
      <c r="I24" s="9" t="str">
        <f>IF(E24="","",E24&amp;"#"&amp;SUMPRODUCT(($E$5:E24=E24)*1))</f>
        <v>3B#2</v>
      </c>
    </row>
    <row r="25" spans="1:9" x14ac:dyDescent="0.3">
      <c r="A25" s="9">
        <v>21</v>
      </c>
      <c r="B25" s="4" t="s">
        <v>125</v>
      </c>
      <c r="C25" s="4" t="s">
        <v>126</v>
      </c>
      <c r="D25" s="4" t="str">
        <f t="shared" si="0"/>
        <v>Connor Felux</v>
      </c>
      <c r="E25" s="10" t="inlineStr">
        <is>
          <t>3A</t>
        </is>
      </c>
      <c r="F25" s="4" t="str">
        <f>IF(E25="","Unassigned",IFERROR(IF(INDEX(Groups!$B$5:$B$17,MATCH(E25,Groups!$A$5:$A$17,0))="","Track not set",INDEX(Groups!$B$5:$B$17,MATCH(E25,Groups!$A$5:$A$17,0))),"Group not in table"))</f>
        <v>Methylene Blue Removal</v>
      </c>
      <c r="G25" s="11">
        <f>IFERROR(IF(INDEX('Quiz 1 Grades'!$P$7:$P$58,MATCH($A25,'Quiz 1 Grades'!$A$7:$A$58,0))="Graded",INDEX('Quiz 1 Grades'!$L$7:$L$58,MATCH($A25,'Quiz 1 Grades'!$A$7:$A$58,0)),INDEX('Quiz 1 Grades'!$P$7:$P$58,MATCH($A25,'Quiz 1 Grades'!$A$7:$A$58,0))),"")</f>
        <v>46</v>
      </c>
      <c r="H25" s="12">
        <f>IF(ISNUMBER(G25),G25/'Quiz 1 Grades'!$L$5,"")</f>
        <v>0.92</v>
      </c>
      <c r="I25" s="9" t="str">
        <f>IF(E25="","",E25&amp;"#"&amp;SUMPRODUCT(($E$5:E25=E25)*1))</f>
        <v>3A#4</v>
      </c>
    </row>
    <row r="26" spans="1:9" x14ac:dyDescent="0.3">
      <c r="A26" s="9">
        <v>22</v>
      </c>
      <c r="B26" s="4" t="s">
        <v>127</v>
      </c>
      <c r="C26" s="4" t="s">
        <v>128</v>
      </c>
      <c r="D26" s="4" t="str">
        <f t="shared" si="0"/>
        <v>Hunter Gates</v>
      </c>
      <c r="E26" s="10" t="inlineStr">
        <is>
          <t>1A</t>
        </is>
      </c>
      <c r="F26" s="4" t="str">
        <f>IF(E26="","Unassigned",IFERROR(IF(INDEX(Groups!$B$5:$B$17,MATCH(E26,Groups!$A$5:$A$17,0))="","Track not set",INDEX(Groups!$B$5:$B$17,MATCH(E26,Groups!$A$5:$A$17,0))),"Group not in table"))</f>
        <v>Methylene Blue Removal</v>
      </c>
      <c r="G26" s="11">
        <f>IFERROR(IF(INDEX('Quiz 1 Grades'!$P$7:$P$58,MATCH($A26,'Quiz 1 Grades'!$A$7:$A$58,0))="Graded",INDEX('Quiz 1 Grades'!$L$7:$L$58,MATCH($A26,'Quiz 1 Grades'!$A$7:$A$58,0)),INDEX('Quiz 1 Grades'!$P$7:$P$58,MATCH($A26,'Quiz 1 Grades'!$A$7:$A$58,0))),"")</f>
        <v>46</v>
      </c>
      <c r="H26" s="12">
        <f>IF(ISNUMBER(G26),G26/'Quiz 1 Grades'!$L$5,"")</f>
        <v>0.92</v>
      </c>
      <c r="I26" s="9" t="str">
        <f>IF(E26="","",E26&amp;"#"&amp;SUMPRODUCT(($E$5:E26=E26)*1))</f>
        <v>1A#4</v>
      </c>
    </row>
    <row r="27" spans="1:9" x14ac:dyDescent="0.3">
      <c r="A27" s="9">
        <v>23</v>
      </c>
      <c r="B27" s="4" t="s">
        <v>129</v>
      </c>
      <c r="C27" s="4" t="s">
        <v>130</v>
      </c>
      <c r="D27" s="4" t="str">
        <f t="shared" si="0"/>
        <v>Brinda Gayen</v>
      </c>
      <c r="E27" s="10" t="inlineStr">
        <is>
          <t>4A</t>
        </is>
      </c>
      <c r="F27" s="4" t="str">
        <f>IF(E27="","Unassigned",IFERROR(IF(INDEX(Groups!$B$5:$B$17,MATCH(E27,Groups!$A$5:$A$17,0))="","Track not set",INDEX(Groups!$B$5:$B$17,MATCH(E27,Groups!$A$5:$A$17,0))),"Group not in table"))</f>
        <v>Methylene Blue Removal</v>
      </c>
      <c r="G27" s="11">
        <f>IFERROR(IF(INDEX('Quiz 1 Grades'!$P$7:$P$58,MATCH($A27,'Quiz 1 Grades'!$A$7:$A$58,0))="Graded",INDEX('Quiz 1 Grades'!$L$7:$L$58,MATCH($A27,'Quiz 1 Grades'!$A$7:$A$58,0)),INDEX('Quiz 1 Grades'!$P$7:$P$58,MATCH($A27,'Quiz 1 Grades'!$A$7:$A$58,0))),"")</f>
        <v>28</v>
      </c>
      <c r="H27" s="12">
        <f>IF(ISNUMBER(G27),G27/'Quiz 1 Grades'!$L$5,"")</f>
        <v>0.56000000000000005</v>
      </c>
      <c r="I27" s="9" t="str">
        <f>IF(E27="","",E27&amp;"#"&amp;SUMPRODUCT(($E$5:E27=E27)*1))</f>
        <v>4A#4</v>
      </c>
    </row>
    <row r="28" spans="1:9" x14ac:dyDescent="0.3">
      <c r="A28" s="9">
        <v>24</v>
      </c>
      <c r="B28" s="4" t="s">
        <v>131</v>
      </c>
      <c r="C28" s="4" t="s">
        <v>132</v>
      </c>
      <c r="D28" s="4" t="str">
        <f t="shared" si="0"/>
        <v>Victoria Gaytan</v>
      </c>
      <c r="E28" s="10" t="inlineStr">
        <is>
          <t>2B</t>
        </is>
      </c>
      <c r="F28" s="4" t="str">
        <f>IF(E28="","Unassigned",IFERROR(IF(INDEX(Groups!$B$5:$B$17,MATCH(E28,Groups!$A$5:$A$17,0))="","Track not set",INDEX(Groups!$B$5:$B$17,MATCH(E28,Groups!$A$5:$A$17,0))),"Group not in table"))</f>
        <v>Oxygenation</v>
      </c>
      <c r="G28" s="11">
        <f>IFERROR(IF(INDEX('Quiz 1 Grades'!$P$7:$P$58,MATCH($A28,'Quiz 1 Grades'!$A$7:$A$58,0))="Graded",INDEX('Quiz 1 Grades'!$L$7:$L$58,MATCH($A28,'Quiz 1 Grades'!$A$7:$A$58,0)),INDEX('Quiz 1 Grades'!$P$7:$P$58,MATCH($A28,'Quiz 1 Grades'!$A$7:$A$58,0))),"")</f>
        <v>46</v>
      </c>
      <c r="H28" s="12">
        <f>IF(ISNUMBER(G28),G28/'Quiz 1 Grades'!$L$5,"")</f>
        <v>0.92</v>
      </c>
      <c r="I28" s="9" t="str">
        <f>IF(E28="","",E28&amp;"#"&amp;SUMPRODUCT(($E$5:E28=E28)*1))</f>
        <v>2B#2</v>
      </c>
    </row>
    <row r="29" spans="1:9" x14ac:dyDescent="0.3">
      <c r="A29" s="9">
        <v>25</v>
      </c>
      <c r="B29" s="4" t="s">
        <v>133</v>
      </c>
      <c r="C29" s="4" t="s">
        <v>134</v>
      </c>
      <c r="D29" s="4" t="str">
        <f t="shared" si="0"/>
        <v>Jocelyn Gonzalez</v>
      </c>
      <c r="E29" s="10" t="inlineStr">
        <is>
          <t>4B</t>
        </is>
      </c>
      <c r="F29" s="4" t="str">
        <f>IF(E29="","Unassigned",IFERROR(IF(INDEX(Groups!$B$5:$B$17,MATCH(E29,Groups!$A$5:$A$17,0))="","Track not set",INDEX(Groups!$B$5:$B$17,MATCH(E29,Groups!$A$5:$A$17,0))),"Group not in table"))</f>
        <v>Oxygenation</v>
      </c>
      <c r="G29" s="11">
        <f>IFERROR(IF(INDEX('Quiz 1 Grades'!$P$7:$P$58,MATCH($A29,'Quiz 1 Grades'!$A$7:$A$58,0))="Graded",INDEX('Quiz 1 Grades'!$L$7:$L$58,MATCH($A29,'Quiz 1 Grades'!$A$7:$A$58,0)),INDEX('Quiz 1 Grades'!$P$7:$P$58,MATCH($A29,'Quiz 1 Grades'!$A$7:$A$58,0))),"")</f>
        <v>42</v>
      </c>
      <c r="H29" s="12">
        <f>IF(ISNUMBER(G29),G29/'Quiz 1 Grades'!$L$5,"")</f>
        <v>0.84</v>
      </c>
      <c r="I29" s="9" t="str">
        <f>IF(E29="","",E29&amp;"#"&amp;SUMPRODUCT(($E$5:E29=E29)*1))</f>
        <v>4B#2</v>
      </c>
    </row>
    <row r="30" spans="1:9" x14ac:dyDescent="0.3">
      <c r="A30" s="9">
        <v>26</v>
      </c>
      <c r="B30" s="4" t="s">
        <v>135</v>
      </c>
      <c r="C30" s="4" t="s">
        <v>136</v>
      </c>
      <c r="D30" s="4" t="str">
        <f t="shared" si="0"/>
        <v>Michelle Gutierrez</v>
      </c>
      <c r="E30" s="10" t="inlineStr">
        <is>
          <t>4B</t>
        </is>
      </c>
      <c r="F30" s="4" t="str">
        <f>IF(E30="","Unassigned",IFERROR(IF(INDEX(Groups!$B$5:$B$17,MATCH(E30,Groups!$A$5:$A$17,0))="","Track not set",INDEX(Groups!$B$5:$B$17,MATCH(E30,Groups!$A$5:$A$17,0))),"Group not in table"))</f>
        <v>Oxygenation</v>
      </c>
      <c r="G30" s="11" t="str">
        <f>IFERROR(IF(INDEX('Quiz 1 Grades'!$P$7:$P$58,MATCH($A30,'Quiz 1 Grades'!$A$7:$A$58,0))="Graded",INDEX('Quiz 1 Grades'!$L$7:$L$58,MATCH($A30,'Quiz 1 Grades'!$A$7:$A$58,0)),INDEX('Quiz 1 Grades'!$P$7:$P$58,MATCH($A30,'Quiz 1 Grades'!$A$7:$A$58,0))),"")</f>
        <v>Missing</v>
      </c>
      <c r="H30" s="12" t="str">
        <f>IF(ISNUMBER(G30),G30/'Quiz 1 Grades'!$L$5,"")</f>
        <v/>
      </c>
      <c r="I30" s="9" t="str">
        <f>IF(E30="","",E30&amp;"#"&amp;SUMPRODUCT(($E$5:E30=E30)*1))</f>
        <v>4B#3</v>
      </c>
    </row>
    <row r="31" spans="1:9" x14ac:dyDescent="0.3">
      <c r="A31" s="9">
        <v>27</v>
      </c>
      <c r="B31" s="4" t="s">
        <v>137</v>
      </c>
      <c r="C31" s="4" t="s">
        <v>138</v>
      </c>
      <c r="D31" s="4" t="str">
        <f t="shared" si="0"/>
        <v>Rachel Holmes</v>
      </c>
      <c r="E31" s="10" t="inlineStr">
        <is>
          <t>2A</t>
        </is>
      </c>
      <c r="F31" s="4" t="str">
        <f>IF(E31="","Unassigned",IFERROR(IF(INDEX(Groups!$B$5:$B$17,MATCH(E31,Groups!$A$5:$A$17,0))="","Track not set",INDEX(Groups!$B$5:$B$17,MATCH(E31,Groups!$A$5:$A$17,0))),"Group not in table"))</f>
        <v>Methylene Blue Removal</v>
      </c>
      <c r="G31" s="11">
        <f>IFERROR(IF(INDEX('Quiz 1 Grades'!$P$7:$P$58,MATCH($A31,'Quiz 1 Grades'!$A$7:$A$58,0))="Graded",INDEX('Quiz 1 Grades'!$L$7:$L$58,MATCH($A31,'Quiz 1 Grades'!$A$7:$A$58,0)),INDEX('Quiz 1 Grades'!$P$7:$P$58,MATCH($A31,'Quiz 1 Grades'!$A$7:$A$58,0))),"")</f>
        <v>27</v>
      </c>
      <c r="H31" s="12">
        <f>IF(ISNUMBER(G31),G31/'Quiz 1 Grades'!$L$5,"")</f>
        <v>0.54</v>
      </c>
      <c r="I31" s="9" t="str">
        <f>IF(E31="","",E31&amp;"#"&amp;SUMPRODUCT(($E$5:E31=E31)*1))</f>
        <v>2A#2</v>
      </c>
    </row>
    <row r="32" spans="1:9" x14ac:dyDescent="0.3">
      <c r="A32" s="9">
        <v>28</v>
      </c>
      <c r="B32" s="4" t="s">
        <v>139</v>
      </c>
      <c r="C32" s="4" t="s">
        <v>140</v>
      </c>
      <c r="D32" s="4" t="str">
        <f t="shared" si="0"/>
        <v>Emily Ickert</v>
      </c>
      <c r="E32" s="10" t="inlineStr">
        <is>
          <t>2B</t>
        </is>
      </c>
      <c r="F32" s="4" t="str">
        <f>IF(E32="","Unassigned",IFERROR(IF(INDEX(Groups!$B$5:$B$17,MATCH(E32,Groups!$A$5:$A$17,0))="","Track not set",INDEX(Groups!$B$5:$B$17,MATCH(E32,Groups!$A$5:$A$17,0))),"Group not in table"))</f>
        <v>Oxygenation</v>
      </c>
      <c r="G32" s="11">
        <f>IFERROR(IF(INDEX('Quiz 1 Grades'!$P$7:$P$58,MATCH($A32,'Quiz 1 Grades'!$A$7:$A$58,0))="Graded",INDEX('Quiz 1 Grades'!$L$7:$L$58,MATCH($A32,'Quiz 1 Grades'!$A$7:$A$58,0)),INDEX('Quiz 1 Grades'!$P$7:$P$58,MATCH($A32,'Quiz 1 Grades'!$A$7:$A$58,0))),"")</f>
        <v>50</v>
      </c>
      <c r="H32" s="12">
        <f>IF(ISNUMBER(G32),G32/'Quiz 1 Grades'!$L$5,"")</f>
        <v>1</v>
      </c>
      <c r="I32" s="9" t="str">
        <f>IF(E32="","",E32&amp;"#"&amp;SUMPRODUCT(($E$5:E32=E32)*1))</f>
        <v>2B#3</v>
      </c>
    </row>
    <row r="33" spans="1:9" x14ac:dyDescent="0.3">
      <c r="A33" s="9">
        <v>29</v>
      </c>
      <c r="B33" s="4" t="s">
        <v>141</v>
      </c>
      <c r="C33" s="4" t="s">
        <v>142</v>
      </c>
      <c r="D33" s="4" t="str">
        <f t="shared" si="0"/>
        <v>Mihal Jacob</v>
      </c>
      <c r="E33" s="10" t="inlineStr">
        <is>
          <t>5A</t>
        </is>
      </c>
      <c r="F33" s="4" t="str">
        <f>IF(E33="","Unassigned",IFERROR(IF(INDEX(Groups!$B$5:$B$17,MATCH(E33,Groups!$A$5:$A$17,0))="","Track not set",INDEX(Groups!$B$5:$B$17,MATCH(E33,Groups!$A$5:$A$17,0))),"Group not in table"))</f>
        <v>Methylene Blue Removal</v>
      </c>
      <c r="G33" s="11">
        <f>IFERROR(IF(INDEX('Quiz 1 Grades'!$P$7:$P$58,MATCH($A33,'Quiz 1 Grades'!$A$7:$A$58,0))="Graded",INDEX('Quiz 1 Grades'!$L$7:$L$58,MATCH($A33,'Quiz 1 Grades'!$A$7:$A$58,0)),INDEX('Quiz 1 Grades'!$P$7:$P$58,MATCH($A33,'Quiz 1 Grades'!$A$7:$A$58,0))),"")</f>
        <v>36</v>
      </c>
      <c r="H33" s="12">
        <f>IF(ISNUMBER(G33),G33/'Quiz 1 Grades'!$L$5,"")</f>
        <v>0.72</v>
      </c>
      <c r="I33" s="9" t="str">
        <f>IF(E33="","",E33&amp;"#"&amp;SUMPRODUCT(($E$5:E33=E33)*1))</f>
        <v>5A#3</v>
      </c>
    </row>
    <row r="34" spans="1:9" x14ac:dyDescent="0.3">
      <c r="A34" s="9">
        <v>30</v>
      </c>
      <c r="B34" s="4" t="s">
        <v>143</v>
      </c>
      <c r="C34" s="4" t="s">
        <v>144</v>
      </c>
      <c r="D34" s="4" t="str">
        <f t="shared" si="0"/>
        <v>Alyssa Jasso</v>
      </c>
      <c r="E34" s="10" t="inlineStr">
        <is>
          <t>5B</t>
        </is>
      </c>
      <c r="F34" s="4" t="str">
        <f>IF(E34="","Unassigned",IFERROR(IF(INDEX(Groups!$B$5:$B$17,MATCH(E34,Groups!$A$5:$A$17,0))="","Track not set",INDEX(Groups!$B$5:$B$17,MATCH(E34,Groups!$A$5:$A$17,0))),"Group not in table"))</f>
        <v>Oxygenation</v>
      </c>
      <c r="G34" s="11">
        <f>IFERROR(IF(INDEX('Quiz 1 Grades'!$P$7:$P$58,MATCH($A34,'Quiz 1 Grades'!$A$7:$A$58,0))="Graded",INDEX('Quiz 1 Grades'!$L$7:$L$58,MATCH($A34,'Quiz 1 Grades'!$A$7:$A$58,0)),INDEX('Quiz 1 Grades'!$P$7:$P$58,MATCH($A34,'Quiz 1 Grades'!$A$7:$A$58,0))),"")</f>
        <v>39</v>
      </c>
      <c r="H34" s="12">
        <f>IF(ISNUMBER(G34),G34/'Quiz 1 Grades'!$L$5,"")</f>
        <v>0.78</v>
      </c>
      <c r="I34" s="9" t="str">
        <f>IF(E34="","",E34&amp;"#"&amp;SUMPRODUCT(($E$5:E34=E34)*1))</f>
        <v>5B#2</v>
      </c>
    </row>
    <row r="35" spans="1:9" x14ac:dyDescent="0.3">
      <c r="A35" s="9">
        <v>31</v>
      </c>
      <c r="B35" s="4" t="s">
        <v>145</v>
      </c>
      <c r="C35" s="4" t="s">
        <v>146</v>
      </c>
      <c r="D35" s="4" t="str">
        <f t="shared" si="0"/>
        <v>Isabella Juarez</v>
      </c>
      <c r="E35" s="10" t="inlineStr">
        <is>
          <t>1B</t>
        </is>
      </c>
      <c r="F35" s="4" t="str">
        <f>IF(E35="","Unassigned",IFERROR(IF(INDEX(Groups!$B$5:$B$17,MATCH(E35,Groups!$A$5:$A$17,0))="","Track not set",INDEX(Groups!$B$5:$B$17,MATCH(E35,Groups!$A$5:$A$17,0))),"Group not in table"))</f>
        <v>Oxygenation</v>
      </c>
      <c r="G35" s="11">
        <f>IFERROR(IF(INDEX('Quiz 1 Grades'!$P$7:$P$58,MATCH($A35,'Quiz 1 Grades'!$A$7:$A$58,0))="Graded",INDEX('Quiz 1 Grades'!$L$7:$L$58,MATCH($A35,'Quiz 1 Grades'!$A$7:$A$58,0)),INDEX('Quiz 1 Grades'!$P$7:$P$58,MATCH($A35,'Quiz 1 Grades'!$A$7:$A$58,0))),"")</f>
        <v>50</v>
      </c>
      <c r="H35" s="12">
        <f>IF(ISNUMBER(G35),G35/'Quiz 1 Grades'!$L$5,"")</f>
        <v>1</v>
      </c>
      <c r="I35" s="9" t="str">
        <f>IF(E35="","",E35&amp;"#"&amp;SUMPRODUCT(($E$5:E35=E35)*1))</f>
        <v>1B#4</v>
      </c>
    </row>
    <row r="36" spans="1:9" x14ac:dyDescent="0.3">
      <c r="A36" s="9">
        <v>32</v>
      </c>
      <c r="B36" s="4" t="s">
        <v>147</v>
      </c>
      <c r="C36" s="4" t="s">
        <v>148</v>
      </c>
      <c r="D36" s="4" t="str">
        <f t="shared" si="0"/>
        <v>Maryam Ka</v>
      </c>
      <c r="E36" s="10" t="inlineStr">
        <is>
          <t>6B</t>
        </is>
      </c>
      <c r="F36" s="4" t="str">
        <f>IF(E36="","Unassigned",IFERROR(IF(INDEX(Groups!$B$5:$B$17,MATCH(E36,Groups!$A$5:$A$17,0))="","Track not set",INDEX(Groups!$B$5:$B$17,MATCH(E36,Groups!$A$5:$A$17,0))),"Group not in table"))</f>
        <v>Oxygenation</v>
      </c>
      <c r="G36" s="11">
        <f>IFERROR(IF(INDEX('Quiz 1 Grades'!$P$7:$P$58,MATCH($A36,'Quiz 1 Grades'!$A$7:$A$58,0))="Graded",INDEX('Quiz 1 Grades'!$L$7:$L$58,MATCH($A36,'Quiz 1 Grades'!$A$7:$A$58,0)),INDEX('Quiz 1 Grades'!$P$7:$P$58,MATCH($A36,'Quiz 1 Grades'!$A$7:$A$58,0))),"")</f>
        <v>23</v>
      </c>
      <c r="H36" s="12">
        <f>IF(ISNUMBER(G36),G36/'Quiz 1 Grades'!$L$5,"")</f>
        <v>0.46</v>
      </c>
      <c r="I36" s="9" t="str">
        <f>IF(E36="","",E36&amp;"#"&amp;SUMPRODUCT(($E$5:E36=E36)*1))</f>
        <v>6B#1</v>
      </c>
    </row>
    <row r="37" spans="1:9" x14ac:dyDescent="0.3">
      <c r="A37" s="9">
        <v>33</v>
      </c>
      <c r="B37" s="4" t="s">
        <v>149</v>
      </c>
      <c r="C37" s="4" t="s">
        <v>150</v>
      </c>
      <c r="D37" s="4" t="str">
        <f t="shared" ref="D37:D56" si="1">TRIM(C37&amp;" "&amp;B37)</f>
        <v>Jenna Koestler</v>
      </c>
      <c r="E37" s="10" t="inlineStr">
        <is>
          <t>4B</t>
        </is>
      </c>
      <c r="F37" s="4" t="str">
        <f>IF(E37="","Unassigned",IFERROR(IF(INDEX(Groups!$B$5:$B$17,MATCH(E37,Groups!$A$5:$A$17,0))="","Track not set",INDEX(Groups!$B$5:$B$17,MATCH(E37,Groups!$A$5:$A$17,0))),"Group not in table"))</f>
        <v>Oxygenation</v>
      </c>
      <c r="G37" s="11">
        <f>IFERROR(IF(INDEX('Quiz 1 Grades'!$P$7:$P$58,MATCH($A37,'Quiz 1 Grades'!$A$7:$A$58,0))="Graded",INDEX('Quiz 1 Grades'!$L$7:$L$58,MATCH($A37,'Quiz 1 Grades'!$A$7:$A$58,0)),INDEX('Quiz 1 Grades'!$P$7:$P$58,MATCH($A37,'Quiz 1 Grades'!$A$7:$A$58,0))),"")</f>
        <v>35</v>
      </c>
      <c r="H37" s="12">
        <f>IF(ISNUMBER(G37),G37/'Quiz 1 Grades'!$L$5,"")</f>
        <v>0.7</v>
      </c>
      <c r="I37" s="9" t="str">
        <f>IF(E37="","",E37&amp;"#"&amp;SUMPRODUCT(($E$5:E37=E37)*1))</f>
        <v>4B#4</v>
      </c>
    </row>
    <row r="38" spans="1:9" x14ac:dyDescent="0.3">
      <c r="A38" s="9">
        <v>34</v>
      </c>
      <c r="B38" s="4" t="s">
        <v>151</v>
      </c>
      <c r="C38" s="4" t="s">
        <v>152</v>
      </c>
      <c r="D38" s="4" t="str">
        <f t="shared" si="1"/>
        <v>Shawn Kwende</v>
      </c>
      <c r="E38" s="10" t="inlineStr">
        <is>
          <t>3B</t>
        </is>
      </c>
      <c r="F38" s="4" t="str">
        <f>IF(E38="","Unassigned",IFERROR(IF(INDEX(Groups!$B$5:$B$17,MATCH(E38,Groups!$A$5:$A$17,0))="","Track not set",INDEX(Groups!$B$5:$B$17,MATCH(E38,Groups!$A$5:$A$17,0))),"Group not in table"))</f>
        <v>Oxygenation</v>
      </c>
      <c r="G38" s="11">
        <f>IFERROR(IF(INDEX('Quiz 1 Grades'!$P$7:$P$58,MATCH($A38,'Quiz 1 Grades'!$A$7:$A$58,0))="Graded",INDEX('Quiz 1 Grades'!$L$7:$L$58,MATCH($A38,'Quiz 1 Grades'!$A$7:$A$58,0)),INDEX('Quiz 1 Grades'!$P$7:$P$58,MATCH($A38,'Quiz 1 Grades'!$A$7:$A$58,0))),"")</f>
        <v>46</v>
      </c>
      <c r="H38" s="12">
        <f>IF(ISNUMBER(G38),G38/'Quiz 1 Grades'!$L$5,"")</f>
        <v>0.92</v>
      </c>
      <c r="I38" s="9" t="str">
        <f>IF(E38="","",E38&amp;"#"&amp;SUMPRODUCT(($E$5:E38=E38)*1))</f>
        <v>3B#3</v>
      </c>
    </row>
    <row r="39" spans="1:9" x14ac:dyDescent="0.3">
      <c r="A39" s="9">
        <v>35</v>
      </c>
      <c r="B39" s="4" t="s">
        <v>153</v>
      </c>
      <c r="C39" s="4" t="s">
        <v>154</v>
      </c>
      <c r="D39" s="4" t="str">
        <f t="shared" si="1"/>
        <v>Kara Larsen</v>
      </c>
      <c r="E39" s="10" t="inlineStr">
        <is>
          <t>3A</t>
        </is>
      </c>
      <c r="F39" s="4" t="str">
        <f>IF(E39="","Unassigned",IFERROR(IF(INDEX(Groups!$B$5:$B$17,MATCH(E39,Groups!$A$5:$A$17,0))="","Track not set",INDEX(Groups!$B$5:$B$17,MATCH(E39,Groups!$A$5:$A$17,0))),"Group not in table"))</f>
        <v>Methylene Blue Removal</v>
      </c>
      <c r="G39" s="11">
        <f>IFERROR(IF(INDEX('Quiz 1 Grades'!$P$7:$P$58,MATCH($A39,'Quiz 1 Grades'!$A$7:$A$58,0))="Graded",INDEX('Quiz 1 Grades'!$L$7:$L$58,MATCH($A39,'Quiz 1 Grades'!$A$7:$A$58,0)),INDEX('Quiz 1 Grades'!$P$7:$P$58,MATCH($A39,'Quiz 1 Grades'!$A$7:$A$58,0))),"")</f>
        <v>41</v>
      </c>
      <c r="H39" s="12">
        <f>IF(ISNUMBER(G39),G39/'Quiz 1 Grades'!$L$5,"")</f>
        <v>0.82</v>
      </c>
      <c r="I39" s="9" t="str">
        <f>IF(E39="","",E39&amp;"#"&amp;SUMPRODUCT(($E$5:E39=E39)*1))</f>
        <v>3A#5</v>
      </c>
    </row>
    <row r="40" spans="1:9" x14ac:dyDescent="0.3">
      <c r="A40" s="9">
        <v>36</v>
      </c>
      <c r="B40" s="4" t="s">
        <v>155</v>
      </c>
      <c r="C40" s="4" t="s">
        <v>156</v>
      </c>
      <c r="D40" s="4" t="str">
        <f t="shared" si="1"/>
        <v>Diego Leal</v>
      </c>
      <c r="E40" s="10" t="inlineStr">
        <is>
          <t>5A</t>
        </is>
      </c>
      <c r="F40" s="4" t="str">
        <f>IF(E40="","Unassigned",IFERROR(IF(INDEX(Groups!$B$5:$B$17,MATCH(E40,Groups!$A$5:$A$17,0))="","Track not set",INDEX(Groups!$B$5:$B$17,MATCH(E40,Groups!$A$5:$A$17,0))),"Group not in table"))</f>
        <v>Methylene Blue Removal</v>
      </c>
      <c r="G40" s="11">
        <f>IFERROR(IF(INDEX('Quiz 1 Grades'!$P$7:$P$58,MATCH($A40,'Quiz 1 Grades'!$A$7:$A$58,0))="Graded",INDEX('Quiz 1 Grades'!$L$7:$L$58,MATCH($A40,'Quiz 1 Grades'!$A$7:$A$58,0)),INDEX('Quiz 1 Grades'!$P$7:$P$58,MATCH($A40,'Quiz 1 Grades'!$A$7:$A$58,0))),"")</f>
        <v>16</v>
      </c>
      <c r="H40" s="12">
        <f>IF(ISNUMBER(G40),G40/'Quiz 1 Grades'!$L$5,"")</f>
        <v>0.32</v>
      </c>
      <c r="I40" s="9" t="str">
        <f>IF(E40="","",E40&amp;"#"&amp;SUMPRODUCT(($E$5:E40=E40)*1))</f>
        <v>5A#4</v>
      </c>
    </row>
    <row r="41" spans="1:9" x14ac:dyDescent="0.3">
      <c r="A41" s="9">
        <v>37</v>
      </c>
      <c r="B41" s="4" t="s">
        <v>157</v>
      </c>
      <c r="C41" s="4" t="s">
        <v>158</v>
      </c>
      <c r="D41" s="4" t="str">
        <f t="shared" si="1"/>
        <v>Valeria Leon</v>
      </c>
      <c r="E41" s="10" t="inlineStr">
        <is>
          <t>5B</t>
        </is>
      </c>
      <c r="F41" s="4" t="str">
        <f>IF(E41="","Unassigned",IFERROR(IF(INDEX(Groups!$B$5:$B$17,MATCH(E41,Groups!$A$5:$A$17,0))="","Track not set",INDEX(Groups!$B$5:$B$17,MATCH(E41,Groups!$A$5:$A$17,0))),"Group not in table"))</f>
        <v>Oxygenation</v>
      </c>
      <c r="G41" s="11">
        <f>IFERROR(IF(INDEX('Quiz 1 Grades'!$P$7:$P$58,MATCH($A41,'Quiz 1 Grades'!$A$7:$A$58,0))="Graded",INDEX('Quiz 1 Grades'!$L$7:$L$58,MATCH($A41,'Quiz 1 Grades'!$A$7:$A$58,0)),INDEX('Quiz 1 Grades'!$P$7:$P$58,MATCH($A41,'Quiz 1 Grades'!$A$7:$A$58,0))),"")</f>
        <v>50</v>
      </c>
      <c r="H41" s="12">
        <f>IF(ISNUMBER(G41),G41/'Quiz 1 Grades'!$L$5,"")</f>
        <v>1</v>
      </c>
      <c r="I41" s="9" t="str">
        <f>IF(E41="","",E41&amp;"#"&amp;SUMPRODUCT(($E$5:E41=E41)*1))</f>
        <v>5B#3</v>
      </c>
    </row>
    <row r="42" spans="1:9" x14ac:dyDescent="0.3">
      <c r="A42" s="9">
        <v>38</v>
      </c>
      <c r="B42" s="4" t="s">
        <v>159</v>
      </c>
      <c r="C42" s="4" t="s">
        <v>160</v>
      </c>
      <c r="D42" s="4" t="str">
        <f t="shared" si="1"/>
        <v>Aaron Linhart</v>
      </c>
      <c r="E42" s="10" t="inlineStr">
        <is>
          <t>5A</t>
        </is>
      </c>
      <c r="F42" s="4" t="str">
        <f>IF(E42="","Unassigned",IFERROR(IF(INDEX(Groups!$B$5:$B$17,MATCH(E42,Groups!$A$5:$A$17,0))="","Track not set",INDEX(Groups!$B$5:$B$17,MATCH(E42,Groups!$A$5:$A$17,0))),"Group not in table"))</f>
        <v>Methylene Blue Removal</v>
      </c>
      <c r="G42" s="11">
        <f>IFERROR(IF(INDEX('Quiz 1 Grades'!$P$7:$P$58,MATCH($A42,'Quiz 1 Grades'!$A$7:$A$58,0))="Graded",INDEX('Quiz 1 Grades'!$L$7:$L$58,MATCH($A42,'Quiz 1 Grades'!$A$7:$A$58,0)),INDEX('Quiz 1 Grades'!$P$7:$P$58,MATCH($A42,'Quiz 1 Grades'!$A$7:$A$58,0))),"")</f>
        <v>45</v>
      </c>
      <c r="H42" s="12">
        <f>IF(ISNUMBER(G42),G42/'Quiz 1 Grades'!$L$5,"")</f>
        <v>0.9</v>
      </c>
      <c r="I42" s="9" t="str">
        <f>IF(E42="","",E42&amp;"#"&amp;SUMPRODUCT(($E$5:E42=E42)*1))</f>
        <v>5A#5</v>
      </c>
    </row>
    <row r="43" spans="1:9" x14ac:dyDescent="0.3">
      <c r="A43" s="9">
        <v>39</v>
      </c>
      <c r="B43" s="4" t="s">
        <v>161</v>
      </c>
      <c r="C43" s="4" t="s">
        <v>162</v>
      </c>
      <c r="D43" s="4" t="str">
        <f t="shared" si="1"/>
        <v>Jared O'neal</v>
      </c>
      <c r="E43" s="10" t="inlineStr">
        <is>
          <t>3B</t>
        </is>
      </c>
      <c r="F43" s="4" t="str">
        <f>IF(E43="","Unassigned",IFERROR(IF(INDEX(Groups!$B$5:$B$17,MATCH(E43,Groups!$A$5:$A$17,0))="","Track not set",INDEX(Groups!$B$5:$B$17,MATCH(E43,Groups!$A$5:$A$17,0))),"Group not in table"))</f>
        <v>Oxygenation</v>
      </c>
      <c r="G43" s="11">
        <f>IFERROR(IF(INDEX('Quiz 1 Grades'!$P$7:$P$58,MATCH($A43,'Quiz 1 Grades'!$A$7:$A$58,0))="Graded",INDEX('Quiz 1 Grades'!$L$7:$L$58,MATCH($A43,'Quiz 1 Grades'!$A$7:$A$58,0)),INDEX('Quiz 1 Grades'!$P$7:$P$58,MATCH($A43,'Quiz 1 Grades'!$A$7:$A$58,0))),"")</f>
        <v>33</v>
      </c>
      <c r="H43" s="12">
        <f>IF(ISNUMBER(G43),G43/'Quiz 1 Grades'!$L$5,"")</f>
        <v>0.66</v>
      </c>
      <c r="I43" s="9" t="str">
        <f>IF(E43="","",E43&amp;"#"&amp;SUMPRODUCT(($E$5:E43=E43)*1))</f>
        <v>3B#4</v>
      </c>
    </row>
    <row r="44" spans="1:9" x14ac:dyDescent="0.3">
      <c r="A44" s="9">
        <v>40</v>
      </c>
      <c r="B44" s="4" t="s">
        <v>163</v>
      </c>
      <c r="C44" s="4" t="s">
        <v>164</v>
      </c>
      <c r="D44" s="4" t="str">
        <f t="shared" si="1"/>
        <v>Daniela Osorio</v>
      </c>
      <c r="E44" s="10" t="inlineStr">
        <is>
          <t>6B</t>
        </is>
      </c>
      <c r="F44" s="4" t="str">
        <f>IF(E44="","Unassigned",IFERROR(IF(INDEX(Groups!$B$5:$B$17,MATCH(E44,Groups!$A$5:$A$17,0))="","Track not set",INDEX(Groups!$B$5:$B$17,MATCH(E44,Groups!$A$5:$A$17,0))),"Group not in table"))</f>
        <v>Oxygenation</v>
      </c>
      <c r="G44" s="11">
        <f>IFERROR(IF(INDEX('Quiz 1 Grades'!$P$7:$P$58,MATCH($A44,'Quiz 1 Grades'!$A$7:$A$58,0))="Graded",INDEX('Quiz 1 Grades'!$L$7:$L$58,MATCH($A44,'Quiz 1 Grades'!$A$7:$A$58,0)),INDEX('Quiz 1 Grades'!$P$7:$P$58,MATCH($A44,'Quiz 1 Grades'!$A$7:$A$58,0))),"")</f>
        <v>48</v>
      </c>
      <c r="H44" s="12">
        <f>IF(ISNUMBER(G44),G44/'Quiz 1 Grades'!$L$5,"")</f>
        <v>0.96</v>
      </c>
      <c r="I44" s="9" t="str">
        <f>IF(E44="","",E44&amp;"#"&amp;SUMPRODUCT(($E$5:E44=E44)*1))</f>
        <v>6B#2</v>
      </c>
    </row>
    <row r="45" spans="1:9" x14ac:dyDescent="0.3">
      <c r="A45" s="9">
        <v>41</v>
      </c>
      <c r="B45" s="4" t="s">
        <v>165</v>
      </c>
      <c r="C45" s="4" t="s">
        <v>166</v>
      </c>
      <c r="D45" s="4" t="str">
        <f t="shared" si="1"/>
        <v>Yasmine Padilla</v>
      </c>
      <c r="E45" s="10" t="inlineStr">
        <is>
          <t>6B</t>
        </is>
      </c>
      <c r="F45" s="4" t="str">
        <f>IF(E45="","Unassigned",IFERROR(IF(INDEX(Groups!$B$5:$B$17,MATCH(E45,Groups!$A$5:$A$17,0))="","Track not set",INDEX(Groups!$B$5:$B$17,MATCH(E45,Groups!$A$5:$A$17,0))),"Group not in table"))</f>
        <v>Oxygenation</v>
      </c>
      <c r="G45" s="11">
        <f>IFERROR(IF(INDEX('Quiz 1 Grades'!$P$7:$P$58,MATCH($A45,'Quiz 1 Grades'!$A$7:$A$58,0))="Graded",INDEX('Quiz 1 Grades'!$L$7:$L$58,MATCH($A45,'Quiz 1 Grades'!$A$7:$A$58,0)),INDEX('Quiz 1 Grades'!$P$7:$P$58,MATCH($A45,'Quiz 1 Grades'!$A$7:$A$58,0))),"")</f>
        <v>40</v>
      </c>
      <c r="H45" s="12">
        <f>IF(ISNUMBER(G45),G45/'Quiz 1 Grades'!$L$5,"")</f>
        <v>0.8</v>
      </c>
      <c r="I45" s="9" t="str">
        <f>IF(E45="","",E45&amp;"#"&amp;SUMPRODUCT(($E$5:E45=E45)*1))</f>
        <v>6B#3</v>
      </c>
    </row>
    <row r="46" spans="1:9" x14ac:dyDescent="0.3">
      <c r="A46" s="9">
        <v>42</v>
      </c>
      <c r="B46" s="4" t="s">
        <v>167</v>
      </c>
      <c r="C46" s="4" t="s">
        <v>168</v>
      </c>
      <c r="D46" s="4" t="str">
        <f t="shared" si="1"/>
        <v>Macie Perrio</v>
      </c>
      <c r="E46" s="10" t="inlineStr">
        <is>
          <t>1A</t>
        </is>
      </c>
      <c r="F46" s="4" t="str">
        <f>IF(E46="","Unassigned",IFERROR(IF(INDEX(Groups!$B$5:$B$17,MATCH(E46,Groups!$A$5:$A$17,0))="","Track not set",INDEX(Groups!$B$5:$B$17,MATCH(E46,Groups!$A$5:$A$17,0))),"Group not in table"))</f>
        <v>Methylene Blue Removal</v>
      </c>
      <c r="G46" s="11">
        <f>IFERROR(IF(INDEX('Quiz 1 Grades'!$P$7:$P$58,MATCH($A46,'Quiz 1 Grades'!$A$7:$A$58,0))="Graded",INDEX('Quiz 1 Grades'!$L$7:$L$58,MATCH($A46,'Quiz 1 Grades'!$A$7:$A$58,0)),INDEX('Quiz 1 Grades'!$P$7:$P$58,MATCH($A46,'Quiz 1 Grades'!$A$7:$A$58,0))),"")</f>
        <v>29</v>
      </c>
      <c r="H46" s="12">
        <f>IF(ISNUMBER(G46),G46/'Quiz 1 Grades'!$L$5,"")</f>
        <v>0.57999999999999996</v>
      </c>
      <c r="I46" s="9" t="str">
        <f>IF(E46="","",E46&amp;"#"&amp;SUMPRODUCT(($E$5:E46=E46)*1))</f>
        <v>1A#5</v>
      </c>
    </row>
    <row r="47" spans="1:9" x14ac:dyDescent="0.3">
      <c r="A47" s="9">
        <v>43</v>
      </c>
      <c r="B47" s="4" t="s">
        <v>169</v>
      </c>
      <c r="C47" s="4" t="s">
        <v>170</v>
      </c>
      <c r="D47" s="4" t="str">
        <f t="shared" si="1"/>
        <v>Emmalie Potter</v>
      </c>
      <c r="E47" s="10" t="inlineStr">
        <is>
          <t>4A</t>
        </is>
      </c>
      <c r="F47" s="4" t="str">
        <f>IF(E47="","Unassigned",IFERROR(IF(INDEX(Groups!$B$5:$B$17,MATCH(E47,Groups!$A$5:$A$17,0))="","Track not set",INDEX(Groups!$B$5:$B$17,MATCH(E47,Groups!$A$5:$A$17,0))),"Group not in table"))</f>
        <v>Methylene Blue Removal</v>
      </c>
      <c r="G47" s="11">
        <f>IFERROR(IF(INDEX('Quiz 1 Grades'!$P$7:$P$58,MATCH($A47,'Quiz 1 Grades'!$A$7:$A$58,0))="Graded",INDEX('Quiz 1 Grades'!$L$7:$L$58,MATCH($A47,'Quiz 1 Grades'!$A$7:$A$58,0)),INDEX('Quiz 1 Grades'!$P$7:$P$58,MATCH($A47,'Quiz 1 Grades'!$A$7:$A$58,0))),"")</f>
        <v>38</v>
      </c>
      <c r="H47" s="12">
        <f>IF(ISNUMBER(G47),G47/'Quiz 1 Grades'!$L$5,"")</f>
        <v>0.76</v>
      </c>
      <c r="I47" s="9" t="str">
        <f>IF(E47="","",E47&amp;"#"&amp;SUMPRODUCT(($E$5:E47=E47)*1))</f>
        <v>4A#5</v>
      </c>
    </row>
    <row r="48" spans="1:9" x14ac:dyDescent="0.3">
      <c r="A48" s="9">
        <v>44</v>
      </c>
      <c r="B48" s="4" t="s">
        <v>171</v>
      </c>
      <c r="C48" s="4" t="s">
        <v>172</v>
      </c>
      <c r="D48" s="4" t="str">
        <f t="shared" si="1"/>
        <v>Luke Presa</v>
      </c>
      <c r="E48" s="10" t="inlineStr">
        <is>
          <t>2B</t>
        </is>
      </c>
      <c r="F48" s="4" t="str">
        <f>IF(E48="","Unassigned",IFERROR(IF(INDEX(Groups!$B$5:$B$17,MATCH(E48,Groups!$A$5:$A$17,0))="","Track not set",INDEX(Groups!$B$5:$B$17,MATCH(E48,Groups!$A$5:$A$17,0))),"Group not in table"))</f>
        <v>Oxygenation</v>
      </c>
      <c r="G48" s="11">
        <f>IFERROR(IF(INDEX('Quiz 1 Grades'!$P$7:$P$58,MATCH($A48,'Quiz 1 Grades'!$A$7:$A$58,0))="Graded",INDEX('Quiz 1 Grades'!$L$7:$L$58,MATCH($A48,'Quiz 1 Grades'!$A$7:$A$58,0)),INDEX('Quiz 1 Grades'!$P$7:$P$58,MATCH($A48,'Quiz 1 Grades'!$A$7:$A$58,0))),"")</f>
        <v>38</v>
      </c>
      <c r="H48" s="12">
        <f>IF(ISNUMBER(G48),G48/'Quiz 1 Grades'!$L$5,"")</f>
        <v>0.76</v>
      </c>
      <c r="I48" s="9" t="str">
        <f>IF(E48="","",E48&amp;"#"&amp;SUMPRODUCT(($E$5:E48=E48)*1))</f>
        <v>2B#4</v>
      </c>
    </row>
    <row r="49" spans="1:9" x14ac:dyDescent="0.3">
      <c r="A49" s="9">
        <v>45</v>
      </c>
      <c r="B49" s="4" t="s">
        <v>173</v>
      </c>
      <c r="C49" s="4" t="s">
        <v>174</v>
      </c>
      <c r="D49" s="4" t="str">
        <f t="shared" si="1"/>
        <v>Benny Reyes</v>
      </c>
      <c r="E49" s="10" t="inlineStr">
        <is>
          <t>2B</t>
        </is>
      </c>
      <c r="F49" s="4" t="str">
        <f>IF(E49="","Unassigned",IFERROR(IF(INDEX(Groups!$B$5:$B$17,MATCH(E49,Groups!$A$5:$A$17,0))="","Track not set",INDEX(Groups!$B$5:$B$17,MATCH(E49,Groups!$A$5:$A$17,0))),"Group not in table"))</f>
        <v>Oxygenation</v>
      </c>
      <c r="G49" s="11">
        <f>IFERROR(IF(INDEX('Quiz 1 Grades'!$P$7:$P$58,MATCH($A49,'Quiz 1 Grades'!$A$7:$A$58,0))="Graded",INDEX('Quiz 1 Grades'!$L$7:$L$58,MATCH($A49,'Quiz 1 Grades'!$A$7:$A$58,0)),INDEX('Quiz 1 Grades'!$P$7:$P$58,MATCH($A49,'Quiz 1 Grades'!$A$7:$A$58,0))),"")</f>
        <v>40</v>
      </c>
      <c r="H49" s="12">
        <f>IF(ISNUMBER(G49),G49/'Quiz 1 Grades'!$L$5,"")</f>
        <v>0.8</v>
      </c>
      <c r="I49" s="9" t="str">
        <f>IF(E49="","",E49&amp;"#"&amp;SUMPRODUCT(($E$5:E49=E49)*1))</f>
        <v>2B#5</v>
      </c>
    </row>
    <row r="50" spans="1:9" x14ac:dyDescent="0.3">
      <c r="A50" s="9">
        <v>46</v>
      </c>
      <c r="B50" s="4" t="s">
        <v>175</v>
      </c>
      <c r="C50" s="4" t="s">
        <v>176</v>
      </c>
      <c r="D50" s="4" t="str">
        <f t="shared" si="1"/>
        <v>Noah Rodriguez</v>
      </c>
      <c r="E50" s="10" t="inlineStr">
        <is>
          <t>2A</t>
        </is>
      </c>
      <c r="F50" s="4" t="str">
        <f>IF(E50="","Unassigned",IFERROR(IF(INDEX(Groups!$B$5:$B$17,MATCH(E50,Groups!$A$5:$A$17,0))="","Track not set",INDEX(Groups!$B$5:$B$17,MATCH(E50,Groups!$A$5:$A$17,0))),"Group not in table"))</f>
        <v>Methylene Blue Removal</v>
      </c>
      <c r="G50" s="11">
        <f>IFERROR(IF(INDEX('Quiz 1 Grades'!$P$7:$P$58,MATCH($A50,'Quiz 1 Grades'!$A$7:$A$58,0))="Graded",INDEX('Quiz 1 Grades'!$L$7:$L$58,MATCH($A50,'Quiz 1 Grades'!$A$7:$A$58,0)),INDEX('Quiz 1 Grades'!$P$7:$P$58,MATCH($A50,'Quiz 1 Grades'!$A$7:$A$58,0))),"")</f>
        <v>37</v>
      </c>
      <c r="H50" s="12">
        <f>IF(ISNUMBER(G50),G50/'Quiz 1 Grades'!$L$5,"")</f>
        <v>0.74</v>
      </c>
      <c r="I50" s="9" t="str">
        <f>IF(E50="","",E50&amp;"#"&amp;SUMPRODUCT(($E$5:E50=E50)*1))</f>
        <v>2A#3</v>
      </c>
    </row>
    <row r="51" spans="1:9" x14ac:dyDescent="0.3">
      <c r="A51" s="9">
        <v>47</v>
      </c>
      <c r="B51" s="4" t="s">
        <v>177</v>
      </c>
      <c r="C51" s="4" t="s">
        <v>178</v>
      </c>
      <c r="D51" s="4" t="str">
        <f t="shared" si="1"/>
        <v>Roman Romashkin</v>
      </c>
      <c r="E51" s="10" t="inlineStr">
        <is>
          <t>4B</t>
        </is>
      </c>
      <c r="F51" s="4" t="str">
        <f>IF(E51="","Unassigned",IFERROR(IF(INDEX(Groups!$B$5:$B$17,MATCH(E51,Groups!$A$5:$A$17,0))="","Track not set",INDEX(Groups!$B$5:$B$17,MATCH(E51,Groups!$A$5:$A$17,0))),"Group not in table"))</f>
        <v>Oxygenation</v>
      </c>
      <c r="G51" s="11">
        <f>IFERROR(IF(INDEX('Quiz 1 Grades'!$P$7:$P$58,MATCH($A51,'Quiz 1 Grades'!$A$7:$A$58,0))="Graded",INDEX('Quiz 1 Grades'!$L$7:$L$58,MATCH($A51,'Quiz 1 Grades'!$A$7:$A$58,0)),INDEX('Quiz 1 Grades'!$P$7:$P$58,MATCH($A51,'Quiz 1 Grades'!$A$7:$A$58,0))),"")</f>
        <v>41</v>
      </c>
      <c r="H51" s="12">
        <f>IF(ISNUMBER(G51),G51/'Quiz 1 Grades'!$L$5,"")</f>
        <v>0.82</v>
      </c>
      <c r="I51" s="9" t="str">
        <f>IF(E51="","",E51&amp;"#"&amp;SUMPRODUCT(($E$5:E51=E51)*1))</f>
        <v>4B#5</v>
      </c>
    </row>
    <row r="52" spans="1:9" x14ac:dyDescent="0.3">
      <c r="A52" s="9">
        <v>48</v>
      </c>
      <c r="B52" s="4" t="s">
        <v>179</v>
      </c>
      <c r="C52" s="4" t="s">
        <v>180</v>
      </c>
      <c r="D52" s="4" t="str">
        <f t="shared" si="1"/>
        <v>Kayra Rushing</v>
      </c>
      <c r="E52" s="10" t="inlineStr">
        <is>
          <t>1B</t>
        </is>
      </c>
      <c r="F52" s="4" t="str">
        <f>IF(E52="","Unassigned",IFERROR(IF(INDEX(Groups!$B$5:$B$17,MATCH(E52,Groups!$A$5:$A$17,0))="","Track not set",INDEX(Groups!$B$5:$B$17,MATCH(E52,Groups!$A$5:$A$17,0))),"Group not in table"))</f>
        <v>Oxygenation</v>
      </c>
      <c r="G52" s="11">
        <f>IFERROR(IF(INDEX('Quiz 1 Grades'!$P$7:$P$58,MATCH($A52,'Quiz 1 Grades'!$A$7:$A$58,0))="Graded",INDEX('Quiz 1 Grades'!$L$7:$L$58,MATCH($A52,'Quiz 1 Grades'!$A$7:$A$58,0)),INDEX('Quiz 1 Grades'!$P$7:$P$58,MATCH($A52,'Quiz 1 Grades'!$A$7:$A$58,0))),"")</f>
        <v>44</v>
      </c>
      <c r="H52" s="12">
        <f>IF(ISNUMBER(G52),G52/'Quiz 1 Grades'!$L$5,"")</f>
        <v>0.88</v>
      </c>
      <c r="I52" s="9" t="str">
        <f>IF(E52="","",E52&amp;"#"&amp;SUMPRODUCT(($E$5:E52=E52)*1))</f>
        <v>1B#5</v>
      </c>
    </row>
    <row r="53" spans="1:9" x14ac:dyDescent="0.3">
      <c r="A53" s="9">
        <v>49</v>
      </c>
      <c r="B53" s="4" t="s">
        <v>181</v>
      </c>
      <c r="C53" s="4" t="s">
        <v>182</v>
      </c>
      <c r="D53" s="4" t="str">
        <f t="shared" si="1"/>
        <v>Brooke Salada</v>
      </c>
      <c r="E53" s="10" t="inlineStr">
        <is>
          <t>3B</t>
        </is>
      </c>
      <c r="F53" s="4" t="str">
        <f>IF(E53="","Unassigned",IFERROR(IF(INDEX(Groups!$B$5:$B$17,MATCH(E53,Groups!$A$5:$A$17,0))="","Track not set",INDEX(Groups!$B$5:$B$17,MATCH(E53,Groups!$A$5:$A$17,0))),"Group not in table"))</f>
        <v>Oxygenation</v>
      </c>
      <c r="G53" s="11">
        <f>IFERROR(IF(INDEX('Quiz 1 Grades'!$P$7:$P$58,MATCH($A53,'Quiz 1 Grades'!$A$7:$A$58,0))="Graded",INDEX('Quiz 1 Grades'!$L$7:$L$58,MATCH($A53,'Quiz 1 Grades'!$A$7:$A$58,0)),INDEX('Quiz 1 Grades'!$P$7:$P$58,MATCH($A53,'Quiz 1 Grades'!$A$7:$A$58,0))),"")</f>
        <v>29</v>
      </c>
      <c r="H53" s="12">
        <f>IF(ISNUMBER(G53),G53/'Quiz 1 Grades'!$L$5,"")</f>
        <v>0.57999999999999996</v>
      </c>
      <c r="I53" s="9" t="str">
        <f>IF(E53="","",E53&amp;"#"&amp;SUMPRODUCT(($E$5:E53=E53)*1))</f>
        <v>3B#5</v>
      </c>
    </row>
    <row r="54" spans="1:9" x14ac:dyDescent="0.3">
      <c r="A54" s="9">
        <v>50</v>
      </c>
      <c r="B54" s="4" t="s">
        <v>183</v>
      </c>
      <c r="C54" s="4" t="s">
        <v>184</v>
      </c>
      <c r="D54" s="4" t="str">
        <f t="shared" si="1"/>
        <v>Haylee Senior</v>
      </c>
      <c r="E54" s="10" t="inlineStr">
        <is>
          <t>5B</t>
        </is>
      </c>
      <c r="F54" s="4" t="str">
        <f>IF(E54="","Unassigned",IFERROR(IF(INDEX(Groups!$B$5:$B$17,MATCH(E54,Groups!$A$5:$A$17,0))="","Track not set",INDEX(Groups!$B$5:$B$17,MATCH(E54,Groups!$A$5:$A$17,0))),"Group not in table"))</f>
        <v>Oxygenation</v>
      </c>
      <c r="G54" s="11">
        <f>IFERROR(IF(INDEX('Quiz 1 Grades'!$P$7:$P$58,MATCH($A54,'Quiz 1 Grades'!$A$7:$A$58,0))="Graded",INDEX('Quiz 1 Grades'!$L$7:$L$58,MATCH($A54,'Quiz 1 Grades'!$A$7:$A$58,0)),INDEX('Quiz 1 Grades'!$P$7:$P$58,MATCH($A54,'Quiz 1 Grades'!$A$7:$A$58,0))),"")</f>
        <v>43</v>
      </c>
      <c r="H54" s="12">
        <f>IF(ISNUMBER(G54),G54/'Quiz 1 Grades'!$L$5,"")</f>
        <v>0.86</v>
      </c>
      <c r="I54" s="9" t="str">
        <f>IF(E54="","",E54&amp;"#"&amp;SUMPRODUCT(($E$5:E54=E54)*1))</f>
        <v>5B#4</v>
      </c>
    </row>
    <row r="55" spans="1:9" x14ac:dyDescent="0.3">
      <c r="A55" s="9">
        <v>51</v>
      </c>
      <c r="B55" s="4" t="s">
        <v>185</v>
      </c>
      <c r="C55" s="4" t="s">
        <v>186</v>
      </c>
      <c r="D55" s="4" t="str">
        <f t="shared" si="1"/>
        <v>Hayley Tarin</v>
      </c>
      <c r="E55" s="10" t="inlineStr">
        <is>
          <t>6B</t>
        </is>
      </c>
      <c r="F55" s="4" t="str">
        <f>IF(E55="","Unassigned",IFERROR(IF(INDEX(Groups!$B$5:$B$17,MATCH(E55,Groups!$A$5:$A$17,0))="","Track not set",INDEX(Groups!$B$5:$B$17,MATCH(E55,Groups!$A$5:$A$17,0))),"Group not in table"))</f>
        <v>Oxygenation</v>
      </c>
      <c r="G55" s="11">
        <f>IFERROR(IF(INDEX('Quiz 1 Grades'!$P$7:$P$58,MATCH($A55,'Quiz 1 Grades'!$A$7:$A$58,0))="Graded",INDEX('Quiz 1 Grades'!$L$7:$L$58,MATCH($A55,'Quiz 1 Grades'!$A$7:$A$58,0)),INDEX('Quiz 1 Grades'!$P$7:$P$58,MATCH($A55,'Quiz 1 Grades'!$A$7:$A$58,0))),"")</f>
        <v>38</v>
      </c>
      <c r="H55" s="12">
        <f>IF(ISNUMBER(G55),G55/'Quiz 1 Grades'!$L$5,"")</f>
        <v>0.76</v>
      </c>
      <c r="I55" s="9" t="str">
        <f>IF(E55="","",E55&amp;"#"&amp;SUMPRODUCT(($E$5:E55=E55)*1))</f>
        <v>6B#4</v>
      </c>
    </row>
    <row r="56" spans="1:9" x14ac:dyDescent="0.3">
      <c r="A56" s="9">
        <v>52</v>
      </c>
      <c r="B56" s="4" t="s">
        <v>187</v>
      </c>
      <c r="C56" s="4" t="s">
        <v>188</v>
      </c>
      <c r="D56" s="4" t="str">
        <f t="shared" si="1"/>
        <v>Shaman Wildman</v>
      </c>
      <c r="E56" s="10" t="inlineStr">
        <is>
          <t>2A</t>
        </is>
      </c>
      <c r="F56" s="4" t="str">
        <f>IF(E56="","Unassigned",IFERROR(IF(INDEX(Groups!$B$5:$B$17,MATCH(E56,Groups!$A$5:$A$17,0))="","Track not set",INDEX(Groups!$B$5:$B$17,MATCH(E56,Groups!$A$5:$A$17,0))),"Group not in table"))</f>
        <v>Methylene Blue Removal</v>
      </c>
      <c r="G56" s="11">
        <f>IFERROR(IF(INDEX('Quiz 1 Grades'!$P$7:$P$58,MATCH($A56,'Quiz 1 Grades'!$A$7:$A$58,0))="Graded",INDEX('Quiz 1 Grades'!$L$7:$L$58,MATCH($A56,'Quiz 1 Grades'!$A$7:$A$58,0)),INDEX('Quiz 1 Grades'!$P$7:$P$58,MATCH($A56,'Quiz 1 Grades'!$A$7:$A$58,0))),"")</f>
        <v>41</v>
      </c>
      <c r="H56" s="12">
        <f>IF(ISNUMBER(G56),G56/'Quiz 1 Grades'!$L$5,"")</f>
        <v>0.82</v>
      </c>
      <c r="I56" s="9" t="str">
        <f>IF(E56="","",E56&amp;"#"&amp;SUMPRODUCT(($E$5:E56=E56)*1))</f>
        <v>2A#4</v>
      </c>
    </row>
  </sheetData>
  <autoFilter ref="A4:H56" xr:uid="{00000000-0009-0000-0000-000001000000}"/>
  <mergeCells count="2">
    <mergeCell ref="A2:H2"/>
    <mergeCell ref="A1:H1"/>
  </mergeCells>
  <conditionalFormatting sqref="A5:D56 F5:H56">
    <cfRule type="expression" dxfId="30" priority="1">
      <formula>MOD(ROW(),2)=0</formula>
    </cfRule>
  </conditionalFormatting>
  <conditionalFormatting sqref="F5:F56">
    <cfRule type="expression" dxfId="29" priority="2">
      <formula>F5="Methylene Blue Removal"</formula>
    </cfRule>
    <cfRule type="expression" dxfId="28" priority="3">
      <formula>F5="Oxygenation"</formula>
    </cfRule>
  </conditionalFormatting>
  <conditionalFormatting sqref="G5:G56">
    <cfRule type="expression" dxfId="27" priority="4">
      <formula>ISTEXT(G5)</formula>
    </cfRule>
  </conditionalFormatting>
  <printOptions horizontalCentered="1"/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Group #" error="Pick a group from the Groups tab (1A–5A, 1B–6B)." promptTitle="Group #" prompt="Pick the student's project group" xr:uid="{00000000-0002-0000-0100-000000000000}">
          <x14:formula1>
            <xm:f>Groups!$A$5:$A$17</xm:f>
          </x14:formula1>
          <xm:sqref>E5:E56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597"/>
    <pageSetUpPr fitToPage="1"/>
  </sheetPr>
  <dimension ref="A1:E28"/>
  <sheetViews>
    <sheetView showGridLines="0" workbookViewId="0">
      <pane ySplit="4" topLeftCell="A5" activePane="bottomLeft" state="frozen"/>
      <selection pane="bottomLeft" sqref="A1:E1"/>
    </sheetView>
  </sheetViews>
  <sheetFormatPr defaultRowHeight="14.4" x14ac:dyDescent="0.3"/>
  <cols>
    <col min="1" max="1" width="10" customWidth="1"/>
    <col min="2" max="2" width="28" customWidth="1"/>
    <col min="3" max="3" width="12" customWidth="1"/>
    <col min="4" max="5" width="14" customWidth="1"/>
  </cols>
  <sheetData>
    <row r="1" spans="1:5" ht="30" customHeight="1" x14ac:dyDescent="0.3">
      <c r="A1" s="67" t="s">
        <v>189</v>
      </c>
      <c r="B1" s="68"/>
      <c r="C1" s="68"/>
      <c r="D1" s="68"/>
      <c r="E1" s="68"/>
    </row>
    <row r="2" spans="1:5" ht="28.05" customHeight="1" x14ac:dyDescent="0.3">
      <c r="A2" s="61" t="s">
        <v>190</v>
      </c>
      <c r="B2" s="62"/>
      <c r="C2" s="62"/>
      <c r="D2" s="62"/>
      <c r="E2" s="62"/>
    </row>
    <row r="4" spans="1:5" ht="31.95" customHeight="1" x14ac:dyDescent="0.3">
      <c r="A4" s="8" t="s">
        <v>82</v>
      </c>
      <c r="B4" s="8" t="s">
        <v>191</v>
      </c>
      <c r="C4" s="8" t="s">
        <v>192</v>
      </c>
      <c r="D4" s="8" t="s">
        <v>193</v>
      </c>
      <c r="E4" s="8" t="s">
        <v>194</v>
      </c>
    </row>
    <row r="5" spans="1:5" x14ac:dyDescent="0.3">
      <c r="A5" s="13" t="inlineStr">
        <is>
          <t>1A</t>
        </is>
      </c>
      <c r="B5" s="3" t="inlineStr">
        <is>
          <t>Methylene Blue Removal</t>
        </is>
      </c>
      <c r="C5" s="9">
        <f>COUNTIF(Roster!$I$5:$I$56,A5&amp;"#*")</f>
        <v>5</v>
      </c>
      <c r="D5" s="9" t="str">
        <f t="shared" ref="D5:D17" si="0">IF(C5=0,"",IF(OR(C5&lt;$C$26,C5&gt;$C$27),"Check size","OK"))</f>
        <v/>
      </c>
      <c r="E5" s="12">
        <f>IFERROR(AVERAGEIF(Roster!$I$5:$I$56,A5&amp;"#*",Roster!$H$5:$H$56),"")</f>
        <v>0.648</v>
      </c>
    </row>
    <row r="6" spans="1:5" x14ac:dyDescent="0.3">
      <c r="A6" s="13" t="inlineStr">
        <is>
          <t>2A</t>
        </is>
      </c>
      <c r="B6" s="3" t="inlineStr">
        <is>
          <t>Methylene Blue Removal</t>
        </is>
      </c>
      <c r="C6" s="9">
        <f>COUNTIF(Roster!$I$5:$I$56,A6&amp;"#*")</f>
        <v>4</v>
      </c>
      <c r="D6" s="9" t="str">
        <f t="shared" si="0"/>
        <v/>
      </c>
      <c r="E6" s="12">
        <f>IFERROR(AVERAGEIF(Roster!$I$5:$I$56,A6&amp;"#*",Roster!$H$5:$H$56),"")</f>
        <v>0.665</v>
      </c>
    </row>
    <row r="7" spans="1:5" x14ac:dyDescent="0.3">
      <c r="A7" s="13" t="inlineStr">
        <is>
          <t>3A</t>
        </is>
      </c>
      <c r="B7" s="3" t="inlineStr">
        <is>
          <t>Methylene Blue Removal</t>
        </is>
      </c>
      <c r="C7" s="9">
        <f>COUNTIF(Roster!$I$5:$I$56,A7&amp;"#*")</f>
        <v>5</v>
      </c>
      <c r="D7" s="9" t="str">
        <f t="shared" si="0"/>
        <v/>
      </c>
      <c r="E7" s="12">
        <f>IFERROR(AVERAGEIF(Roster!$I$5:$I$56,A7&amp;"#*",Roster!$H$5:$H$56),"")</f>
        <v>0.6719999999999999</v>
      </c>
    </row>
    <row r="8" spans="1:5" x14ac:dyDescent="0.3">
      <c r="A8" s="13" t="inlineStr">
        <is>
          <t>4A</t>
        </is>
      </c>
      <c r="B8" s="3" t="inlineStr">
        <is>
          <t>Methylene Blue Removal</t>
        </is>
      </c>
      <c r="C8" s="9">
        <f>COUNTIF(Roster!$I$5:$I$56,A8&amp;"#*")</f>
        <v>5</v>
      </c>
      <c r="D8" s="9" t="str">
        <f t="shared" si="0"/>
        <v/>
      </c>
      <c r="E8" s="12">
        <f>IFERROR(AVERAGEIF(Roster!$I$5:$I$56,A8&amp;"#*",Roster!$H$5:$H$56),"")</f>
        <v>0.74</v>
      </c>
    </row>
    <row r="9" spans="1:5" x14ac:dyDescent="0.3">
      <c r="A9" s="13" t="inlineStr">
        <is>
          <t>5A</t>
        </is>
      </c>
      <c r="B9" s="3" t="inlineStr">
        <is>
          <t>Methylene Blue Removal</t>
        </is>
      </c>
      <c r="C9" s="9">
        <f>COUNTIF(Roster!$I$5:$I$56,A9&amp;"#*")</f>
        <v>5</v>
      </c>
      <c r="D9" s="9" t="str">
        <f t="shared" si="0"/>
        <v/>
      </c>
      <c r="E9" s="12">
        <f>IFERROR(AVERAGEIF(Roster!$I$5:$I$56,A9&amp;"#*",Roster!$H$5:$H$56),"")</f>
        <v>0.6679999999999999</v>
      </c>
    </row>
    <row r="10" spans="1:5" x14ac:dyDescent="0.3">
      <c r="A10" s="13" t="inlineStr">
        <is>
          <t>1B</t>
        </is>
      </c>
      <c r="B10" s="3" t="inlineStr">
        <is>
          <t>Oxygenation</t>
        </is>
      </c>
      <c r="C10" s="9">
        <f>COUNTIF(Roster!$I$5:$I$56,A10&amp;"#*")</f>
        <v>5</v>
      </c>
      <c r="D10" s="9" t="str">
        <f t="shared" si="0"/>
        <v/>
      </c>
      <c r="E10" s="12">
        <f>IFERROR(AVERAGEIF(Roster!$I$5:$I$56,A10&amp;"#*",Roster!$H$5:$H$56),"")</f>
        <v>0.89</v>
      </c>
    </row>
    <row r="11" spans="1:5" x14ac:dyDescent="0.3">
      <c r="A11" s="13" t="inlineStr">
        <is>
          <t>2B</t>
        </is>
      </c>
      <c r="B11" s="3" t="inlineStr">
        <is>
          <t>Oxygenation</t>
        </is>
      </c>
      <c r="C11" s="9">
        <f>COUNTIF(Roster!$I$5:$I$56,A11&amp;"#*")</f>
        <v>5</v>
      </c>
      <c r="D11" s="9" t="str">
        <f t="shared" si="0"/>
        <v/>
      </c>
      <c r="E11" s="12">
        <f>IFERROR(AVERAGEIF(Roster!$I$5:$I$56,A11&amp;"#*",Roster!$H$5:$H$56),"")</f>
        <v>0.8879999999999999</v>
      </c>
    </row>
    <row r="12" spans="1:5" x14ac:dyDescent="0.3">
      <c r="A12" s="13" t="inlineStr">
        <is>
          <t>3B</t>
        </is>
      </c>
      <c r="B12" s="3" t="inlineStr">
        <is>
          <t>Oxygenation</t>
        </is>
      </c>
      <c r="C12" s="9">
        <f>COUNTIF(Roster!$I$5:$I$56,A12&amp;"#*")</f>
        <v>5</v>
      </c>
      <c r="D12" s="9" t="str">
        <f t="shared" si="0"/>
        <v/>
      </c>
      <c r="E12" s="12">
        <f>IFERROR(AVERAGEIF(Roster!$I$5:$I$56,A12&amp;"#*",Roster!$H$5:$H$56),"")</f>
        <v>0.8320000000000001</v>
      </c>
    </row>
    <row r="13" spans="1:5" x14ac:dyDescent="0.3">
      <c r="A13" s="13" t="inlineStr">
        <is>
          <t>4B</t>
        </is>
      </c>
      <c r="B13" s="3" t="inlineStr">
        <is>
          <t>Oxygenation</t>
        </is>
      </c>
      <c r="C13" s="9">
        <f>COUNTIF(Roster!$I$5:$I$56,A13&amp;"#*")</f>
        <v>5</v>
      </c>
      <c r="D13" s="9" t="str">
        <f t="shared" si="0"/>
        <v/>
      </c>
      <c r="E13" s="12">
        <f>IFERROR(AVERAGEIF(Roster!$I$5:$I$56,A13&amp;"#*",Roster!$H$5:$H$56),"")</f>
        <v>0.8049999999999999</v>
      </c>
    </row>
    <row r="14" spans="1:5" x14ac:dyDescent="0.3">
      <c r="A14" s="13" t="inlineStr">
        <is>
          <t>5B</t>
        </is>
      </c>
      <c r="B14" s="3" t="inlineStr">
        <is>
          <t>Oxygenation</t>
        </is>
      </c>
      <c r="C14" s="9">
        <f>COUNTIF(Roster!$I$5:$I$56,A14&amp;"#*")</f>
        <v>4</v>
      </c>
      <c r="D14" s="9" t="str">
        <f t="shared" si="0"/>
        <v/>
      </c>
      <c r="E14" s="12">
        <f>IFERROR(AVERAGEIF(Roster!$I$5:$I$56,A14&amp;"#*",Roster!$H$5:$H$56),"")</f>
        <v>0.875</v>
      </c>
    </row>
    <row r="15" spans="1:5" x14ac:dyDescent="0.3">
      <c r="A15" s="13" t="inlineStr">
        <is>
          <t>6B</t>
        </is>
      </c>
      <c r="B15" s="3" t="inlineStr">
        <is>
          <t>Oxygenation</t>
        </is>
      </c>
      <c r="C15" s="9">
        <f>COUNTIF(Roster!$I$5:$I$56,A15&amp;"#*")</f>
        <v>4</v>
      </c>
      <c r="D15" s="9" t="str">
        <f t="shared" si="0"/>
        <v/>
      </c>
      <c r="E15" s="12">
        <f>IFERROR(AVERAGEIF(Roster!$I$5:$I$56,A15&amp;"#*",Roster!$H$5:$H$56),"")</f>
        <v>0.7449999999999999</v>
      </c>
    </row>
    <row r="16" spans="1:5" x14ac:dyDescent="0.3">
      <c r="A16" s="13"/>
      <c r="B16" s="3"/>
      <c r="C16" s="9">
        <f>COUNTIF(Roster!$I$5:$I$56,A16&amp;"#*")</f>
        <v>0</v>
      </c>
      <c r="D16" s="9" t="str">
        <f t="shared" si="0"/>
        <v/>
      </c>
      <c r="E16" s="12" t="str">
        <f>IFERROR(AVERAGEIF(Roster!$I$5:$I$56,A16&amp;"#*",Roster!$H$5:$H$56),"")</f>
        <v/>
      </c>
    </row>
    <row r="17" spans="1:5" x14ac:dyDescent="0.3">
      <c r="A17" s="13"/>
      <c r="B17" s="3"/>
      <c r="C17" s="9">
        <f>COUNTIF(Roster!$I$5:$I$56,A17&amp;"#*")</f>
        <v>0</v>
      </c>
      <c r="D17" s="9" t="str">
        <f t="shared" si="0"/>
        <v/>
      </c>
      <c r="E17" s="12" t="str">
        <f>IFERROR(AVERAGEIF(Roster!$I$5:$I$56,A17&amp;"#*",Roster!$H$5:$H$56),"")</f>
        <v/>
      </c>
    </row>
    <row r="19" spans="1:5" ht="22.05" customHeight="1" x14ac:dyDescent="0.3">
      <c r="A19" s="69" t="s">
        <v>195</v>
      </c>
      <c r="B19" s="62"/>
      <c r="C19" s="62"/>
    </row>
    <row r="20" spans="1:5" x14ac:dyDescent="0.3">
      <c r="A20" s="70" t="s">
        <v>196</v>
      </c>
      <c r="B20" s="71"/>
      <c r="C20" s="14">
        <f>COUNTA(Roster!$B$5:$B$56)</f>
        <v>52</v>
      </c>
    </row>
    <row r="21" spans="1:5" x14ac:dyDescent="0.3">
      <c r="A21" s="70" t="s">
        <v>197</v>
      </c>
      <c r="B21" s="71"/>
      <c r="C21" s="14">
        <f>COUNTA(Roster!$E$5:$E$56)</f>
        <v>52</v>
      </c>
    </row>
    <row r="22" spans="1:5" x14ac:dyDescent="0.3">
      <c r="A22" s="70" t="s">
        <v>198</v>
      </c>
      <c r="B22" s="71"/>
      <c r="C22" s="14">
        <f>COUNTBLANK(Roster!$E$5:$E$56)</f>
        <v>0</v>
      </c>
    </row>
    <row r="23" spans="1:5" x14ac:dyDescent="0.3">
      <c r="A23" s="70" t="s">
        <v>199</v>
      </c>
      <c r="B23" s="71"/>
      <c r="C23" s="14">
        <f>COUNTIF(Roster!$F$5:$F$56,"Methylene Blue Removal")</f>
        <v>24</v>
      </c>
    </row>
    <row r="24" spans="1:5" x14ac:dyDescent="0.3">
      <c r="A24" s="70" t="s">
        <v>200</v>
      </c>
      <c r="B24" s="71"/>
      <c r="C24" s="14">
        <f>COUNTIF(Roster!$F$5:$F$56,"Oxygenation")</f>
        <v>28</v>
      </c>
    </row>
    <row r="25" spans="1:5" x14ac:dyDescent="0.3">
      <c r="A25" s="70" t="s">
        <v>201</v>
      </c>
      <c r="B25" s="71"/>
      <c r="C25" s="14">
        <f>COUNTIFS($B$5:$B$17,"Methylene Blue Removal",$C$5:$C$17,"&gt;0")</f>
        <v>5</v>
      </c>
    </row>
    <row r="26" spans="1:5" x14ac:dyDescent="0.3">
      <c r="A26" s="70" t="s">
        <v>202</v>
      </c>
      <c r="B26" s="71"/>
      <c r="C26" s="10">
        <v>4</v>
      </c>
    </row>
    <row r="27" spans="1:5" x14ac:dyDescent="0.3">
      <c r="A27" s="70" t="s">
        <v>203</v>
      </c>
      <c r="B27" s="71"/>
      <c r="C27" s="10">
        <v>5</v>
      </c>
    </row>
    <row r="28" spans="1:5" x14ac:dyDescent="0.3">
      <c r="A28" s="70" t="s">
        <v>204</v>
      </c>
      <c r="B28" s="71"/>
      <c r="C28" s="14">
        <f>ROUNDUP(C20/C27,0)</f>
        <v>11</v>
      </c>
    </row>
  </sheetData>
  <mergeCells count="12">
    <mergeCell ref="A2:E2"/>
    <mergeCell ref="A25:B25"/>
    <mergeCell ref="A28:B28"/>
    <mergeCell ref="A1:E1"/>
    <mergeCell ref="A23:B23"/>
    <mergeCell ref="A27:B27"/>
    <mergeCell ref="A22:B22"/>
    <mergeCell ref="A20:B20"/>
    <mergeCell ref="A21:B21"/>
    <mergeCell ref="A19:C19"/>
    <mergeCell ref="A24:B24"/>
    <mergeCell ref="A26:B26"/>
  </mergeCells>
  <conditionalFormatting sqref="B5:B17">
    <cfRule type="expression" dxfId="26" priority="2">
      <formula>B5="Methylene Blue Removal"</formula>
    </cfRule>
    <cfRule type="expression" dxfId="25" priority="3">
      <formula>B5="Oxygenation"</formula>
    </cfRule>
  </conditionalFormatting>
  <conditionalFormatting sqref="D5:D17">
    <cfRule type="expression" dxfId="24" priority="1">
      <formula>D5="Check size"</formula>
    </cfRule>
  </conditionalFormatting>
  <dataValidations count="1">
    <dataValidation type="list" allowBlank="1" showInputMessage="1" showErrorMessage="1" errorTitle="Invalid entry" error="Pick a value from the list." promptTitle="Choose" prompt="Project track for this group" sqref="B5:B17" xr:uid="{00000000-0002-0000-0200-000000000000}">
      <formula1>"Methylene Blue Removal,Oxygenation"</formula1>
    </dataValidation>
  </dataValidations>
  <printOptions horizontalCentered="1"/>
  <pageMargins left="0.75" right="0.75" top="1" bottom="1" header="0.5" footer="0.5"/>
  <pageSetup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0000"/>
    <pageSetUpPr fitToPage="1"/>
  </sheetPr>
  <dimension ref="A1:S65"/>
  <sheetViews>
    <sheetView showGridLines="0" workbookViewId="0">
      <pane xSplit="2" ySplit="6" topLeftCell="C47" activePane="bottomRight" state="frozen"/>
      <selection pane="topRight"/>
      <selection pane="bottomLeft"/>
      <selection pane="bottomRight" sqref="A1:P1"/>
    </sheetView>
  </sheetViews>
  <sheetFormatPr defaultRowHeight="14.4" x14ac:dyDescent="0.3"/>
  <cols>
    <col min="1" max="1" width="5" customWidth="1"/>
    <col min="2" max="2" width="22" customWidth="1"/>
    <col min="3" max="6" width="7" customWidth="1"/>
    <col min="7" max="7" width="9" customWidth="1"/>
    <col min="8" max="10" width="7" customWidth="1"/>
    <col min="11" max="12" width="9" customWidth="1"/>
    <col min="13" max="13" width="7" customWidth="1"/>
    <col min="14" max="14" width="14" customWidth="1"/>
    <col min="15" max="15" width="7" customWidth="1"/>
    <col min="16" max="16" width="11" customWidth="1"/>
    <col min="17" max="17" width="3" customWidth="1"/>
    <col min="18" max="18" width="30" customWidth="1"/>
    <col min="19" max="19" width="8" customWidth="1"/>
  </cols>
  <sheetData>
    <row r="1" spans="1:19" ht="30" customHeight="1" x14ac:dyDescent="0.3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9" ht="28.05" customHeight="1" x14ac:dyDescent="0.3">
      <c r="A2" s="61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R2" s="59" t="s">
        <v>2</v>
      </c>
      <c r="S2" s="60"/>
    </row>
    <row r="3" spans="1:19" x14ac:dyDescent="0.3">
      <c r="R3" s="6" t="s">
        <v>3</v>
      </c>
      <c r="S3" s="10">
        <v>40</v>
      </c>
    </row>
    <row r="4" spans="1:19" x14ac:dyDescent="0.3">
      <c r="A4" s="63" t="s">
        <v>4</v>
      </c>
      <c r="B4" s="64"/>
      <c r="C4" s="65" t="str">
        <f>"Problem 1 ("&amp;G5&amp;" pts)"</f>
        <v>Problem 1 (35 pts)</v>
      </c>
      <c r="D4" s="66"/>
      <c r="E4" s="66"/>
      <c r="F4" s="66"/>
      <c r="G4" s="66"/>
      <c r="H4" s="65" t="str">
        <f>"Problem 2 ("&amp;K5&amp;" pts)"</f>
        <v>Problem 2 (15 pts)</v>
      </c>
      <c r="I4" s="66"/>
      <c r="J4" s="66"/>
      <c r="K4" s="66"/>
      <c r="L4" s="63" t="s">
        <v>5</v>
      </c>
      <c r="M4" s="64"/>
      <c r="N4" s="64"/>
      <c r="O4" s="64"/>
      <c r="P4" s="64"/>
      <c r="R4" s="16" t="s">
        <v>6</v>
      </c>
      <c r="S4" s="10">
        <v>26</v>
      </c>
    </row>
    <row r="5" spans="1:19" x14ac:dyDescent="0.3">
      <c r="A5" s="17"/>
      <c r="B5" s="18" t="s">
        <v>7</v>
      </c>
      <c r="C5" s="19">
        <v>10</v>
      </c>
      <c r="D5" s="19">
        <v>15</v>
      </c>
      <c r="E5" s="19">
        <v>5</v>
      </c>
      <c r="F5" s="19">
        <v>5</v>
      </c>
      <c r="G5" s="20">
        <f>SUM(C5:F5)</f>
        <v>35</v>
      </c>
      <c r="H5" s="19">
        <v>5</v>
      </c>
      <c r="I5" s="19">
        <v>5</v>
      </c>
      <c r="J5" s="19">
        <v>5</v>
      </c>
      <c r="K5" s="20">
        <f>SUM(H5:J5)</f>
        <v>15</v>
      </c>
      <c r="L5" s="20">
        <f>G5+K5</f>
        <v>50</v>
      </c>
      <c r="M5" s="20"/>
      <c r="N5" s="20"/>
      <c r="O5" s="20"/>
      <c r="P5" s="20"/>
      <c r="R5" s="21" t="s">
        <v>8</v>
      </c>
      <c r="S5" s="9">
        <f>S4</f>
        <v>26</v>
      </c>
    </row>
    <row r="6" spans="1:19" ht="31.95" customHeight="1" x14ac:dyDescent="0.3">
      <c r="A6" s="8" t="s">
        <v>9</v>
      </c>
      <c r="B6" s="8" t="s">
        <v>10</v>
      </c>
      <c r="C6" s="8" t="s">
        <v>11</v>
      </c>
      <c r="D6" s="8" t="s">
        <v>12</v>
      </c>
      <c r="E6" s="8" t="s">
        <v>13</v>
      </c>
      <c r="F6" s="8" t="s">
        <v>14</v>
      </c>
      <c r="G6" s="8" t="s">
        <v>15</v>
      </c>
      <c r="H6" s="8" t="s">
        <v>16</v>
      </c>
      <c r="I6" s="8" t="s">
        <v>17</v>
      </c>
      <c r="J6" s="8" t="s">
        <v>18</v>
      </c>
      <c r="K6" s="8" t="s">
        <v>19</v>
      </c>
      <c r="L6" s="8" t="s">
        <v>20</v>
      </c>
      <c r="M6" s="8" t="s">
        <v>21</v>
      </c>
      <c r="N6" s="8" t="s">
        <v>22</v>
      </c>
      <c r="O6" s="8" t="s">
        <v>23</v>
      </c>
      <c r="P6" s="8" t="s">
        <v>24</v>
      </c>
    </row>
    <row r="7" spans="1:19" x14ac:dyDescent="0.3">
      <c r="A7" s="9">
        <v>1</v>
      </c>
      <c r="B7" s="22" t="str">
        <f>IFERROR(INDEX(Roster!$D$5:$D$56,MATCH($A7,Roster!$A$5:$A$56,0)),"(not on roster)")</f>
        <v>David Abagwe</v>
      </c>
      <c r="C7" s="10">
        <v>8</v>
      </c>
      <c r="D7" s="10">
        <v>13</v>
      </c>
      <c r="E7" s="10">
        <v>4</v>
      </c>
      <c r="F7" s="10">
        <v>4</v>
      </c>
      <c r="G7" s="9">
        <f t="shared" ref="G7:G38" si="0">IF(COUNT(C7:F7)=0,"",SUM(C7:F7))</f>
        <v>29</v>
      </c>
      <c r="H7" s="10">
        <v>5</v>
      </c>
      <c r="I7" s="10">
        <v>5</v>
      </c>
      <c r="J7" s="10">
        <v>5</v>
      </c>
      <c r="K7" s="9">
        <f t="shared" ref="K7:K38" si="1">IF(COUNT(H7:J7)=0,"",SUM(H7:J7))</f>
        <v>15</v>
      </c>
      <c r="L7" s="13">
        <f t="shared" ref="L7:L38" si="2">IF(COUNT(C7:F7,H7:J7)=COUNT($C$5:$F$5,$H$5:$J$5),SUM(C7:F7,H7:J7),"")</f>
        <v>44</v>
      </c>
      <c r="M7" s="12">
        <f t="shared" ref="M7:M38" si="3">IF(ISNUMBER(L7),L7/$L$5,"")</f>
        <v>0.88</v>
      </c>
      <c r="N7" s="9" t="str">
        <f t="shared" ref="N7:N38" si="4">IF(ISNUMBER(L7),IF(L7&gt;=$S$3,"Strong",IF(L7&gt;=$S$4,"Satisfactory","Needs support")),"")</f>
        <v>Strong</v>
      </c>
      <c r="O7" s="9">
        <f t="shared" ref="O7:O38" si="5">IF(ISNUMBER(L7),RANK(L7,$L$7:$L$58,0),"")</f>
        <v>14</v>
      </c>
      <c r="P7" s="9" t="str">
        <f t="shared" ref="P7:P38" si="6">IF(COUNT(C7:F7,H7:J7)=0,"Missing",IF(COUNT(C7:F7,H7:J7)&lt;COUNT($C$5:$F$5,$H$5:$J$5),"Incomplete","Graded"))</f>
        <v>Graded</v>
      </c>
    </row>
    <row r="8" spans="1:19" x14ac:dyDescent="0.3">
      <c r="A8" s="9">
        <v>2</v>
      </c>
      <c r="B8" s="22" t="str">
        <f>IFERROR(INDEX(Roster!$D$5:$D$56,MATCH($A8,Roster!$A$5:$A$56,0)),"(not on roster)")</f>
        <v>Sonu Acharya</v>
      </c>
      <c r="C8" s="10">
        <v>0</v>
      </c>
      <c r="D8" s="10">
        <v>5</v>
      </c>
      <c r="E8" s="10">
        <v>3</v>
      </c>
      <c r="F8" s="10">
        <v>3</v>
      </c>
      <c r="G8" s="9">
        <f t="shared" si="0"/>
        <v>11</v>
      </c>
      <c r="H8" s="10">
        <v>5</v>
      </c>
      <c r="I8" s="10">
        <v>5</v>
      </c>
      <c r="J8" s="10">
        <v>0</v>
      </c>
      <c r="K8" s="9">
        <f t="shared" si="1"/>
        <v>10</v>
      </c>
      <c r="L8" s="13">
        <f t="shared" si="2"/>
        <v>21</v>
      </c>
      <c r="M8" s="12">
        <f t="shared" si="3"/>
        <v>0.42</v>
      </c>
      <c r="N8" s="9" t="str">
        <f t="shared" si="4"/>
        <v>Needs support</v>
      </c>
      <c r="O8" s="9">
        <f t="shared" si="5"/>
        <v>49</v>
      </c>
      <c r="P8" s="9" t="str">
        <f t="shared" si="6"/>
        <v>Graded</v>
      </c>
    </row>
    <row r="9" spans="1:19" x14ac:dyDescent="0.3">
      <c r="A9" s="9">
        <v>3</v>
      </c>
      <c r="B9" s="22" t="str">
        <f>IFERROR(INDEX(Roster!$D$5:$D$56,MATCH($A9,Roster!$A$5:$A$56,0)),"(not on roster)")</f>
        <v>Ashton Adams</v>
      </c>
      <c r="C9" s="10">
        <v>8</v>
      </c>
      <c r="D9" s="10">
        <v>10</v>
      </c>
      <c r="E9" s="10">
        <v>5</v>
      </c>
      <c r="F9" s="10">
        <v>5</v>
      </c>
      <c r="G9" s="9">
        <f t="shared" si="0"/>
        <v>28</v>
      </c>
      <c r="H9" s="10">
        <v>5</v>
      </c>
      <c r="I9" s="10">
        <v>5</v>
      </c>
      <c r="J9" s="10">
        <v>5</v>
      </c>
      <c r="K9" s="9">
        <f t="shared" si="1"/>
        <v>15</v>
      </c>
      <c r="L9" s="13">
        <f t="shared" si="2"/>
        <v>43</v>
      </c>
      <c r="M9" s="12">
        <f t="shared" si="3"/>
        <v>0.86</v>
      </c>
      <c r="N9" s="9" t="str">
        <f t="shared" si="4"/>
        <v>Strong</v>
      </c>
      <c r="O9" s="9">
        <f t="shared" si="5"/>
        <v>17</v>
      </c>
      <c r="P9" s="9" t="str">
        <f t="shared" si="6"/>
        <v>Graded</v>
      </c>
    </row>
    <row r="10" spans="1:19" x14ac:dyDescent="0.3">
      <c r="A10" s="9">
        <v>4</v>
      </c>
      <c r="B10" s="22" t="str">
        <f>IFERROR(INDEX(Roster!$D$5:$D$56,MATCH($A10,Roster!$A$5:$A$56,0)),"(not on roster)")</f>
        <v>Hayden Albert</v>
      </c>
      <c r="C10" s="10">
        <v>5</v>
      </c>
      <c r="D10" s="10">
        <v>15</v>
      </c>
      <c r="E10" s="10">
        <v>4</v>
      </c>
      <c r="F10" s="10">
        <v>4</v>
      </c>
      <c r="G10" s="9">
        <f t="shared" si="0"/>
        <v>28</v>
      </c>
      <c r="H10" s="10">
        <v>5</v>
      </c>
      <c r="I10" s="10">
        <v>5</v>
      </c>
      <c r="J10" s="10">
        <v>5</v>
      </c>
      <c r="K10" s="9">
        <f t="shared" si="1"/>
        <v>15</v>
      </c>
      <c r="L10" s="13">
        <f t="shared" si="2"/>
        <v>43</v>
      </c>
      <c r="M10" s="12">
        <f t="shared" si="3"/>
        <v>0.86</v>
      </c>
      <c r="N10" s="9" t="str">
        <f t="shared" si="4"/>
        <v>Strong</v>
      </c>
      <c r="O10" s="9">
        <f t="shared" si="5"/>
        <v>17</v>
      </c>
      <c r="P10" s="9" t="str">
        <f t="shared" si="6"/>
        <v>Graded</v>
      </c>
    </row>
    <row r="11" spans="1:19" x14ac:dyDescent="0.3">
      <c r="A11" s="9">
        <v>5</v>
      </c>
      <c r="B11" s="22" t="str">
        <f>IFERROR(INDEX(Roster!$D$5:$D$56,MATCH($A11,Roster!$A$5:$A$56,0)),"(not on roster)")</f>
        <v>Lani Allen</v>
      </c>
      <c r="C11" s="10">
        <v>10</v>
      </c>
      <c r="D11" s="10">
        <v>15</v>
      </c>
      <c r="E11" s="10">
        <v>5</v>
      </c>
      <c r="F11" s="10">
        <v>5</v>
      </c>
      <c r="G11" s="9">
        <f t="shared" si="0"/>
        <v>35</v>
      </c>
      <c r="H11" s="10">
        <v>5</v>
      </c>
      <c r="I11" s="10">
        <v>5</v>
      </c>
      <c r="J11" s="10">
        <v>5</v>
      </c>
      <c r="K11" s="9">
        <f t="shared" si="1"/>
        <v>15</v>
      </c>
      <c r="L11" s="13">
        <f t="shared" si="2"/>
        <v>50</v>
      </c>
      <c r="M11" s="12">
        <f t="shared" si="3"/>
        <v>1</v>
      </c>
      <c r="N11" s="9" t="str">
        <f t="shared" si="4"/>
        <v>Strong</v>
      </c>
      <c r="O11" s="9">
        <f t="shared" si="5"/>
        <v>1</v>
      </c>
      <c r="P11" s="9" t="str">
        <f t="shared" si="6"/>
        <v>Graded</v>
      </c>
    </row>
    <row r="12" spans="1:19" x14ac:dyDescent="0.3">
      <c r="A12" s="9">
        <v>6</v>
      </c>
      <c r="B12" s="22" t="str">
        <f>IFERROR(INDEX(Roster!$D$5:$D$56,MATCH($A12,Roster!$A$5:$A$56,0)),"(not on roster)")</f>
        <v>John David Andrade</v>
      </c>
      <c r="C12" s="10">
        <v>8</v>
      </c>
      <c r="D12" s="10">
        <v>10</v>
      </c>
      <c r="E12" s="10">
        <v>5</v>
      </c>
      <c r="F12" s="10">
        <v>4</v>
      </c>
      <c r="G12" s="9">
        <f t="shared" si="0"/>
        <v>27</v>
      </c>
      <c r="H12" s="10">
        <v>0</v>
      </c>
      <c r="I12" s="10">
        <v>0</v>
      </c>
      <c r="J12" s="10">
        <v>5</v>
      </c>
      <c r="K12" s="9">
        <f t="shared" si="1"/>
        <v>5</v>
      </c>
      <c r="L12" s="13">
        <f t="shared" si="2"/>
        <v>32</v>
      </c>
      <c r="M12" s="12">
        <f t="shared" si="3"/>
        <v>0.64</v>
      </c>
      <c r="N12" s="9" t="str">
        <f t="shared" si="4"/>
        <v>Satisfactory</v>
      </c>
      <c r="O12" s="9">
        <f t="shared" si="5"/>
        <v>37</v>
      </c>
      <c r="P12" s="9" t="str">
        <f t="shared" si="6"/>
        <v>Graded</v>
      </c>
    </row>
    <row r="13" spans="1:19" x14ac:dyDescent="0.3">
      <c r="A13" s="9">
        <v>7</v>
      </c>
      <c r="B13" s="22" t="str">
        <f>IFERROR(INDEX(Roster!$D$5:$D$56,MATCH($A13,Roster!$A$5:$A$56,0)),"(not on roster)")</f>
        <v>Landon Atkins</v>
      </c>
      <c r="C13" s="10">
        <v>5</v>
      </c>
      <c r="D13" s="10">
        <v>5</v>
      </c>
      <c r="E13" s="10">
        <v>3</v>
      </c>
      <c r="F13" s="10">
        <v>3</v>
      </c>
      <c r="G13" s="9">
        <f t="shared" si="0"/>
        <v>16</v>
      </c>
      <c r="H13" s="10">
        <v>5</v>
      </c>
      <c r="I13" s="10">
        <v>0</v>
      </c>
      <c r="J13" s="10">
        <v>5</v>
      </c>
      <c r="K13" s="9">
        <f t="shared" si="1"/>
        <v>10</v>
      </c>
      <c r="L13" s="13">
        <f t="shared" si="2"/>
        <v>26</v>
      </c>
      <c r="M13" s="12">
        <f t="shared" si="3"/>
        <v>0.52</v>
      </c>
      <c r="N13" s="9" t="str">
        <f t="shared" si="4"/>
        <v>Satisfactory</v>
      </c>
      <c r="O13" s="9">
        <f t="shared" si="5"/>
        <v>44</v>
      </c>
      <c r="P13" s="9" t="str">
        <f t="shared" si="6"/>
        <v>Graded</v>
      </c>
    </row>
    <row r="14" spans="1:19" x14ac:dyDescent="0.3">
      <c r="A14" s="9">
        <v>8</v>
      </c>
      <c r="B14" s="22" t="str">
        <f>IFERROR(INDEX(Roster!$D$5:$D$56,MATCH($A14,Roster!$A$5:$A$56,0)),"(not on roster)")</f>
        <v>Ryan Borkland</v>
      </c>
      <c r="C14" s="10">
        <v>10</v>
      </c>
      <c r="D14" s="10">
        <v>15</v>
      </c>
      <c r="E14" s="10">
        <v>3</v>
      </c>
      <c r="F14" s="10">
        <v>3</v>
      </c>
      <c r="G14" s="9">
        <f t="shared" si="0"/>
        <v>31</v>
      </c>
      <c r="H14" s="10">
        <v>5</v>
      </c>
      <c r="I14" s="10">
        <v>5</v>
      </c>
      <c r="J14" s="10">
        <v>5</v>
      </c>
      <c r="K14" s="9">
        <f t="shared" si="1"/>
        <v>15</v>
      </c>
      <c r="L14" s="13">
        <f t="shared" si="2"/>
        <v>46</v>
      </c>
      <c r="M14" s="12">
        <f t="shared" si="3"/>
        <v>0.92</v>
      </c>
      <c r="N14" s="9" t="str">
        <f t="shared" si="4"/>
        <v>Strong</v>
      </c>
      <c r="O14" s="9">
        <f t="shared" si="5"/>
        <v>8</v>
      </c>
      <c r="P14" s="9" t="str">
        <f t="shared" si="6"/>
        <v>Graded</v>
      </c>
    </row>
    <row r="15" spans="1:19" x14ac:dyDescent="0.3">
      <c r="A15" s="9">
        <v>9</v>
      </c>
      <c r="B15" s="22" t="str">
        <f>IFERROR(INDEX(Roster!$D$5:$D$56,MATCH($A15,Roster!$A$5:$A$56,0)),"(not on roster)")</f>
        <v>Jermy Brown</v>
      </c>
      <c r="C15" s="10">
        <v>8</v>
      </c>
      <c r="D15" s="10">
        <v>15</v>
      </c>
      <c r="E15" s="10">
        <v>3</v>
      </c>
      <c r="F15" s="10">
        <v>3</v>
      </c>
      <c r="G15" s="9">
        <f t="shared" si="0"/>
        <v>29</v>
      </c>
      <c r="H15" s="10">
        <v>5</v>
      </c>
      <c r="I15" s="10">
        <v>5</v>
      </c>
      <c r="J15" s="10">
        <v>5</v>
      </c>
      <c r="K15" s="9">
        <f t="shared" si="1"/>
        <v>15</v>
      </c>
      <c r="L15" s="13">
        <f t="shared" si="2"/>
        <v>44</v>
      </c>
      <c r="M15" s="12">
        <f t="shared" si="3"/>
        <v>0.88</v>
      </c>
      <c r="N15" s="9" t="str">
        <f t="shared" si="4"/>
        <v>Strong</v>
      </c>
      <c r="O15" s="9">
        <f t="shared" si="5"/>
        <v>14</v>
      </c>
      <c r="P15" s="9" t="str">
        <f t="shared" si="6"/>
        <v>Graded</v>
      </c>
    </row>
    <row r="16" spans="1:19" x14ac:dyDescent="0.3">
      <c r="A16" s="9">
        <v>10</v>
      </c>
      <c r="B16" s="22" t="str">
        <f>IFERROR(INDEX(Roster!$D$5:$D$56,MATCH($A16,Roster!$A$5:$A$56,0)),"(not on roster)")</f>
        <v>Eric Calderon</v>
      </c>
      <c r="C16" s="10">
        <v>3</v>
      </c>
      <c r="D16" s="10">
        <v>15</v>
      </c>
      <c r="E16" s="10">
        <v>5</v>
      </c>
      <c r="F16" s="10">
        <v>5</v>
      </c>
      <c r="G16" s="9">
        <f t="shared" si="0"/>
        <v>28</v>
      </c>
      <c r="H16" s="10">
        <v>5</v>
      </c>
      <c r="I16" s="10">
        <v>0</v>
      </c>
      <c r="J16" s="10">
        <v>5</v>
      </c>
      <c r="K16" s="9">
        <f t="shared" si="1"/>
        <v>10</v>
      </c>
      <c r="L16" s="13">
        <f t="shared" si="2"/>
        <v>38</v>
      </c>
      <c r="M16" s="12">
        <f t="shared" si="3"/>
        <v>0.76</v>
      </c>
      <c r="N16" s="9" t="str">
        <f t="shared" si="4"/>
        <v>Satisfactory</v>
      </c>
      <c r="O16" s="9">
        <f t="shared" si="5"/>
        <v>29</v>
      </c>
      <c r="P16" s="9" t="str">
        <f t="shared" si="6"/>
        <v>Graded</v>
      </c>
    </row>
    <row r="17" spans="1:16" x14ac:dyDescent="0.3">
      <c r="A17" s="9">
        <v>11</v>
      </c>
      <c r="B17" s="22" t="str">
        <f>IFERROR(INDEX(Roster!$D$5:$D$56,MATCH($A17,Roster!$A$5:$A$56,0)),"(not on roster)")</f>
        <v>Angel Camarillo</v>
      </c>
      <c r="C17" s="10">
        <v>2</v>
      </c>
      <c r="D17" s="10">
        <v>8</v>
      </c>
      <c r="E17" s="10">
        <v>3</v>
      </c>
      <c r="F17" s="10">
        <v>3</v>
      </c>
      <c r="G17" s="9">
        <f t="shared" si="0"/>
        <v>16</v>
      </c>
      <c r="H17" s="10">
        <v>5</v>
      </c>
      <c r="I17" s="10">
        <v>0</v>
      </c>
      <c r="J17" s="10">
        <v>5</v>
      </c>
      <c r="K17" s="9">
        <f t="shared" si="1"/>
        <v>10</v>
      </c>
      <c r="L17" s="13">
        <f t="shared" si="2"/>
        <v>26</v>
      </c>
      <c r="M17" s="12">
        <f t="shared" si="3"/>
        <v>0.52</v>
      </c>
      <c r="N17" s="9" t="str">
        <f t="shared" si="4"/>
        <v>Satisfactory</v>
      </c>
      <c r="O17" s="9">
        <f t="shared" si="5"/>
        <v>44</v>
      </c>
      <c r="P17" s="9" t="str">
        <f t="shared" si="6"/>
        <v>Graded</v>
      </c>
    </row>
    <row r="18" spans="1:16" x14ac:dyDescent="0.3">
      <c r="A18" s="9">
        <v>12</v>
      </c>
      <c r="B18" s="22" t="str">
        <f>IFERROR(INDEX(Roster!$D$5:$D$56,MATCH($A18,Roster!$A$5:$A$56,0)),"(not on roster)")</f>
        <v>Gavin Cappel</v>
      </c>
      <c r="C18" s="10"/>
      <c r="D18" s="10"/>
      <c r="E18" s="10"/>
      <c r="F18" s="10"/>
      <c r="G18" s="9" t="str">
        <f t="shared" si="0"/>
        <v/>
      </c>
      <c r="H18" s="10"/>
      <c r="I18" s="10"/>
      <c r="J18" s="10"/>
      <c r="K18" s="9" t="str">
        <f t="shared" si="1"/>
        <v/>
      </c>
      <c r="L18" s="13" t="str">
        <f t="shared" si="2"/>
        <v/>
      </c>
      <c r="M18" s="12" t="str">
        <f t="shared" si="3"/>
        <v/>
      </c>
      <c r="N18" s="9" t="str">
        <f t="shared" si="4"/>
        <v/>
      </c>
      <c r="O18" s="9" t="str">
        <f t="shared" si="5"/>
        <v/>
      </c>
      <c r="P18" s="9" t="str">
        <f t="shared" si="6"/>
        <v>Missing</v>
      </c>
    </row>
    <row r="19" spans="1:16" x14ac:dyDescent="0.3">
      <c r="A19" s="9">
        <v>13</v>
      </c>
      <c r="B19" s="22" t="str">
        <f>IFERROR(INDEX(Roster!$D$5:$D$56,MATCH($A19,Roster!$A$5:$A$56,0)),"(not on roster)")</f>
        <v>Venditha Chelikani</v>
      </c>
      <c r="C19" s="10">
        <v>10</v>
      </c>
      <c r="D19" s="10">
        <v>15</v>
      </c>
      <c r="E19" s="10">
        <v>4</v>
      </c>
      <c r="F19" s="10">
        <v>4</v>
      </c>
      <c r="G19" s="9">
        <f t="shared" si="0"/>
        <v>33</v>
      </c>
      <c r="H19" s="10">
        <v>5</v>
      </c>
      <c r="I19" s="10">
        <v>5</v>
      </c>
      <c r="J19" s="10">
        <v>5</v>
      </c>
      <c r="K19" s="9">
        <f t="shared" si="1"/>
        <v>15</v>
      </c>
      <c r="L19" s="13">
        <f t="shared" si="2"/>
        <v>48</v>
      </c>
      <c r="M19" s="12">
        <f t="shared" si="3"/>
        <v>0.96</v>
      </c>
      <c r="N19" s="9" t="str">
        <f t="shared" si="4"/>
        <v>Strong</v>
      </c>
      <c r="O19" s="9">
        <f t="shared" si="5"/>
        <v>6</v>
      </c>
      <c r="P19" s="9" t="str">
        <f t="shared" si="6"/>
        <v>Graded</v>
      </c>
    </row>
    <row r="20" spans="1:16" x14ac:dyDescent="0.3">
      <c r="A20" s="9">
        <v>14</v>
      </c>
      <c r="B20" s="22" t="str">
        <f>IFERROR(INDEX(Roster!$D$5:$D$56,MATCH($A20,Roster!$A$5:$A$56,0)),"(not on roster)")</f>
        <v>Brisa Colunga</v>
      </c>
      <c r="C20" s="10">
        <v>10</v>
      </c>
      <c r="D20" s="10">
        <v>15</v>
      </c>
      <c r="E20" s="10">
        <v>4</v>
      </c>
      <c r="F20" s="10">
        <v>4</v>
      </c>
      <c r="G20" s="9">
        <f t="shared" si="0"/>
        <v>33</v>
      </c>
      <c r="H20" s="10">
        <v>5</v>
      </c>
      <c r="I20" s="10">
        <v>0</v>
      </c>
      <c r="J20" s="10">
        <v>5</v>
      </c>
      <c r="K20" s="9">
        <f t="shared" si="1"/>
        <v>10</v>
      </c>
      <c r="L20" s="13">
        <f t="shared" si="2"/>
        <v>43</v>
      </c>
      <c r="M20" s="12">
        <f t="shared" si="3"/>
        <v>0.86</v>
      </c>
      <c r="N20" s="9" t="str">
        <f t="shared" si="4"/>
        <v>Strong</v>
      </c>
      <c r="O20" s="9">
        <f t="shared" si="5"/>
        <v>17</v>
      </c>
      <c r="P20" s="9" t="str">
        <f t="shared" si="6"/>
        <v>Graded</v>
      </c>
    </row>
    <row r="21" spans="1:16" x14ac:dyDescent="0.3">
      <c r="A21" s="9">
        <v>15</v>
      </c>
      <c r="B21" s="22" t="str">
        <f>IFERROR(INDEX(Roster!$D$5:$D$56,MATCH($A21,Roster!$A$5:$A$56,0)),"(not on roster)")</f>
        <v>Axel Cruz-Hernandez</v>
      </c>
      <c r="C21" s="10">
        <v>3</v>
      </c>
      <c r="D21" s="10">
        <v>8</v>
      </c>
      <c r="E21" s="10">
        <v>4</v>
      </c>
      <c r="F21" s="10">
        <v>4</v>
      </c>
      <c r="G21" s="9">
        <f t="shared" si="0"/>
        <v>19</v>
      </c>
      <c r="H21" s="10">
        <v>5</v>
      </c>
      <c r="I21" s="10">
        <v>0</v>
      </c>
      <c r="J21" s="10">
        <v>5</v>
      </c>
      <c r="K21" s="9">
        <f t="shared" si="1"/>
        <v>10</v>
      </c>
      <c r="L21" s="13">
        <f t="shared" si="2"/>
        <v>29</v>
      </c>
      <c r="M21" s="12">
        <f t="shared" si="3"/>
        <v>0.57999999999999996</v>
      </c>
      <c r="N21" s="9" t="str">
        <f t="shared" si="4"/>
        <v>Satisfactory</v>
      </c>
      <c r="O21" s="9">
        <f t="shared" si="5"/>
        <v>38</v>
      </c>
      <c r="P21" s="9" t="str">
        <f t="shared" si="6"/>
        <v>Graded</v>
      </c>
    </row>
    <row r="22" spans="1:16" x14ac:dyDescent="0.3">
      <c r="A22" s="9">
        <v>16</v>
      </c>
      <c r="B22" s="22" t="str">
        <f>IFERROR(INDEX(Roster!$D$5:$D$56,MATCH($A22,Roster!$A$5:$A$56,0)),"(not on roster)")</f>
        <v>Devin Cuellar</v>
      </c>
      <c r="C22" s="10">
        <v>8</v>
      </c>
      <c r="D22" s="10">
        <v>15</v>
      </c>
      <c r="E22" s="10">
        <v>5</v>
      </c>
      <c r="F22" s="10">
        <v>5</v>
      </c>
      <c r="G22" s="9">
        <f t="shared" si="0"/>
        <v>33</v>
      </c>
      <c r="H22" s="10">
        <v>5</v>
      </c>
      <c r="I22" s="10">
        <v>0</v>
      </c>
      <c r="J22" s="10">
        <v>5</v>
      </c>
      <c r="K22" s="9">
        <f t="shared" si="1"/>
        <v>10</v>
      </c>
      <c r="L22" s="13">
        <f t="shared" si="2"/>
        <v>43</v>
      </c>
      <c r="M22" s="12">
        <f t="shared" si="3"/>
        <v>0.86</v>
      </c>
      <c r="N22" s="9" t="str">
        <f t="shared" si="4"/>
        <v>Strong</v>
      </c>
      <c r="O22" s="9">
        <f t="shared" si="5"/>
        <v>17</v>
      </c>
      <c r="P22" s="9" t="str">
        <f t="shared" si="6"/>
        <v>Graded</v>
      </c>
    </row>
    <row r="23" spans="1:16" x14ac:dyDescent="0.3">
      <c r="A23" s="9">
        <v>17</v>
      </c>
      <c r="B23" s="22" t="str">
        <f>IFERROR(INDEX(Roster!$D$5:$D$56,MATCH($A23,Roster!$A$5:$A$56,0)),"(not on roster)")</f>
        <v>Mia Cuellar</v>
      </c>
      <c r="C23" s="10">
        <v>3</v>
      </c>
      <c r="D23" s="10">
        <v>5</v>
      </c>
      <c r="E23" s="10">
        <v>4</v>
      </c>
      <c r="F23" s="10">
        <v>4</v>
      </c>
      <c r="G23" s="9">
        <f t="shared" si="0"/>
        <v>16</v>
      </c>
      <c r="H23" s="10">
        <v>0</v>
      </c>
      <c r="I23" s="10">
        <v>5</v>
      </c>
      <c r="J23" s="10">
        <v>5</v>
      </c>
      <c r="K23" s="9">
        <f t="shared" si="1"/>
        <v>10</v>
      </c>
      <c r="L23" s="13">
        <f t="shared" si="2"/>
        <v>26</v>
      </c>
      <c r="M23" s="12">
        <f t="shared" si="3"/>
        <v>0.52</v>
      </c>
      <c r="N23" s="9" t="str">
        <f t="shared" si="4"/>
        <v>Satisfactory</v>
      </c>
      <c r="O23" s="9">
        <f t="shared" si="5"/>
        <v>44</v>
      </c>
      <c r="P23" s="9" t="str">
        <f t="shared" si="6"/>
        <v>Graded</v>
      </c>
    </row>
    <row r="24" spans="1:16" x14ac:dyDescent="0.3">
      <c r="A24" s="9">
        <v>18</v>
      </c>
      <c r="B24" s="22" t="str">
        <f>IFERROR(INDEX(Roster!$D$5:$D$56,MATCH($A24,Roster!$A$5:$A$56,0)),"(not on roster)")</f>
        <v>Trevin Cutrer</v>
      </c>
      <c r="C24" s="10">
        <v>4</v>
      </c>
      <c r="D24" s="10">
        <v>8</v>
      </c>
      <c r="E24" s="10">
        <v>3</v>
      </c>
      <c r="F24" s="10">
        <v>3</v>
      </c>
      <c r="G24" s="9">
        <f t="shared" si="0"/>
        <v>18</v>
      </c>
      <c r="H24" s="10">
        <v>0</v>
      </c>
      <c r="I24" s="10">
        <v>5</v>
      </c>
      <c r="J24" s="10">
        <v>5</v>
      </c>
      <c r="K24" s="9">
        <f t="shared" si="1"/>
        <v>10</v>
      </c>
      <c r="L24" s="13">
        <f t="shared" si="2"/>
        <v>28</v>
      </c>
      <c r="M24" s="12">
        <f t="shared" si="3"/>
        <v>0.56000000000000005</v>
      </c>
      <c r="N24" s="9" t="str">
        <f t="shared" si="4"/>
        <v>Satisfactory</v>
      </c>
      <c r="O24" s="9">
        <f t="shared" si="5"/>
        <v>41</v>
      </c>
      <c r="P24" s="9" t="str">
        <f t="shared" si="6"/>
        <v>Graded</v>
      </c>
    </row>
    <row r="25" spans="1:16" x14ac:dyDescent="0.3">
      <c r="A25" s="9">
        <v>19</v>
      </c>
      <c r="B25" s="22" t="str">
        <f>IFERROR(INDEX(Roster!$D$5:$D$56,MATCH($A25,Roster!$A$5:$A$56,0)),"(not on roster)")</f>
        <v>Elizabeth Dillah</v>
      </c>
      <c r="C25" s="10">
        <v>8</v>
      </c>
      <c r="D25" s="10">
        <v>5</v>
      </c>
      <c r="E25" s="10">
        <v>5</v>
      </c>
      <c r="F25" s="10">
        <v>5</v>
      </c>
      <c r="G25" s="9">
        <f t="shared" si="0"/>
        <v>23</v>
      </c>
      <c r="H25" s="10">
        <v>0</v>
      </c>
      <c r="I25" s="10">
        <v>0</v>
      </c>
      <c r="J25" s="10">
        <v>0</v>
      </c>
      <c r="K25" s="9">
        <f t="shared" si="1"/>
        <v>0</v>
      </c>
      <c r="L25" s="13">
        <f t="shared" si="2"/>
        <v>23</v>
      </c>
      <c r="M25" s="12">
        <f t="shared" si="3"/>
        <v>0.46</v>
      </c>
      <c r="N25" s="9" t="str">
        <f t="shared" si="4"/>
        <v>Needs support</v>
      </c>
      <c r="O25" s="9">
        <f t="shared" si="5"/>
        <v>47</v>
      </c>
      <c r="P25" s="9" t="str">
        <f t="shared" si="6"/>
        <v>Graded</v>
      </c>
    </row>
    <row r="26" spans="1:16" x14ac:dyDescent="0.3">
      <c r="A26" s="9">
        <v>20</v>
      </c>
      <c r="B26" s="22" t="str">
        <f>IFERROR(INDEX(Roster!$D$5:$D$56,MATCH($A26,Roster!$A$5:$A$56,0)),"(not on roster)")</f>
        <v>Jack Elsas</v>
      </c>
      <c r="C26" s="10">
        <v>10</v>
      </c>
      <c r="D26" s="10">
        <v>15</v>
      </c>
      <c r="E26" s="10">
        <v>5</v>
      </c>
      <c r="F26" s="10">
        <v>5</v>
      </c>
      <c r="G26" s="9">
        <f t="shared" si="0"/>
        <v>35</v>
      </c>
      <c r="H26" s="10">
        <v>5</v>
      </c>
      <c r="I26" s="10">
        <v>5</v>
      </c>
      <c r="J26" s="10">
        <v>5</v>
      </c>
      <c r="K26" s="9">
        <f t="shared" si="1"/>
        <v>15</v>
      </c>
      <c r="L26" s="13">
        <f t="shared" si="2"/>
        <v>50</v>
      </c>
      <c r="M26" s="12">
        <f t="shared" si="3"/>
        <v>1</v>
      </c>
      <c r="N26" s="9" t="str">
        <f t="shared" si="4"/>
        <v>Strong</v>
      </c>
      <c r="O26" s="9">
        <f t="shared" si="5"/>
        <v>1</v>
      </c>
      <c r="P26" s="9" t="str">
        <f t="shared" si="6"/>
        <v>Graded</v>
      </c>
    </row>
    <row r="27" spans="1:16" x14ac:dyDescent="0.3">
      <c r="A27" s="9">
        <v>21</v>
      </c>
      <c r="B27" s="22" t="str">
        <f>IFERROR(INDEX(Roster!$D$5:$D$56,MATCH($A27,Roster!$A$5:$A$56,0)),"(not on roster)")</f>
        <v>Connor Felux</v>
      </c>
      <c r="C27" s="10">
        <v>8</v>
      </c>
      <c r="D27" s="10">
        <v>15</v>
      </c>
      <c r="E27" s="10">
        <v>4</v>
      </c>
      <c r="F27" s="10">
        <v>4</v>
      </c>
      <c r="G27" s="9">
        <f t="shared" si="0"/>
        <v>31</v>
      </c>
      <c r="H27" s="10">
        <v>5</v>
      </c>
      <c r="I27" s="10">
        <v>5</v>
      </c>
      <c r="J27" s="10">
        <v>5</v>
      </c>
      <c r="K27" s="9">
        <f t="shared" si="1"/>
        <v>15</v>
      </c>
      <c r="L27" s="13">
        <f t="shared" si="2"/>
        <v>46</v>
      </c>
      <c r="M27" s="12">
        <f t="shared" si="3"/>
        <v>0.92</v>
      </c>
      <c r="N27" s="9" t="str">
        <f t="shared" si="4"/>
        <v>Strong</v>
      </c>
      <c r="O27" s="9">
        <f t="shared" si="5"/>
        <v>8</v>
      </c>
      <c r="P27" s="9" t="str">
        <f t="shared" si="6"/>
        <v>Graded</v>
      </c>
    </row>
    <row r="28" spans="1:16" x14ac:dyDescent="0.3">
      <c r="A28" s="9">
        <v>22</v>
      </c>
      <c r="B28" s="22" t="str">
        <f>IFERROR(INDEX(Roster!$D$5:$D$56,MATCH($A28,Roster!$A$5:$A$56,0)),"(not on roster)")</f>
        <v>Hunter Gates</v>
      </c>
      <c r="C28" s="10">
        <v>8</v>
      </c>
      <c r="D28" s="10">
        <v>15</v>
      </c>
      <c r="E28" s="10">
        <v>4</v>
      </c>
      <c r="F28" s="10">
        <v>4</v>
      </c>
      <c r="G28" s="9">
        <f t="shared" si="0"/>
        <v>31</v>
      </c>
      <c r="H28" s="10">
        <v>5</v>
      </c>
      <c r="I28" s="10">
        <v>5</v>
      </c>
      <c r="J28" s="10">
        <v>5</v>
      </c>
      <c r="K28" s="9">
        <f t="shared" si="1"/>
        <v>15</v>
      </c>
      <c r="L28" s="13">
        <f t="shared" si="2"/>
        <v>46</v>
      </c>
      <c r="M28" s="12">
        <f t="shared" si="3"/>
        <v>0.92</v>
      </c>
      <c r="N28" s="9" t="str">
        <f t="shared" si="4"/>
        <v>Strong</v>
      </c>
      <c r="O28" s="9">
        <f t="shared" si="5"/>
        <v>8</v>
      </c>
      <c r="P28" s="9" t="str">
        <f t="shared" si="6"/>
        <v>Graded</v>
      </c>
    </row>
    <row r="29" spans="1:16" x14ac:dyDescent="0.3">
      <c r="A29" s="9">
        <v>23</v>
      </c>
      <c r="B29" s="22" t="str">
        <f>IFERROR(INDEX(Roster!$D$5:$D$56,MATCH($A29,Roster!$A$5:$A$56,0)),"(not on roster)")</f>
        <v>Brinda Gayen</v>
      </c>
      <c r="C29" s="10">
        <v>5</v>
      </c>
      <c r="D29" s="10">
        <v>10</v>
      </c>
      <c r="E29" s="10">
        <v>4</v>
      </c>
      <c r="F29" s="10">
        <v>4</v>
      </c>
      <c r="G29" s="9">
        <f t="shared" si="0"/>
        <v>23</v>
      </c>
      <c r="H29" s="10">
        <v>5</v>
      </c>
      <c r="I29" s="10">
        <v>0</v>
      </c>
      <c r="J29" s="10">
        <v>0</v>
      </c>
      <c r="K29" s="9">
        <f t="shared" si="1"/>
        <v>5</v>
      </c>
      <c r="L29" s="13">
        <f t="shared" si="2"/>
        <v>28</v>
      </c>
      <c r="M29" s="12">
        <f t="shared" si="3"/>
        <v>0.56000000000000005</v>
      </c>
      <c r="N29" s="9" t="str">
        <f t="shared" si="4"/>
        <v>Satisfactory</v>
      </c>
      <c r="O29" s="9">
        <f t="shared" si="5"/>
        <v>41</v>
      </c>
      <c r="P29" s="9" t="str">
        <f t="shared" si="6"/>
        <v>Graded</v>
      </c>
    </row>
    <row r="30" spans="1:16" x14ac:dyDescent="0.3">
      <c r="A30" s="9">
        <v>24</v>
      </c>
      <c r="B30" s="22" t="str">
        <f>IFERROR(INDEX(Roster!$D$5:$D$56,MATCH($A30,Roster!$A$5:$A$56,0)),"(not on roster)")</f>
        <v>Victoria Gaytan</v>
      </c>
      <c r="C30" s="10">
        <v>8</v>
      </c>
      <c r="D30" s="10">
        <v>15</v>
      </c>
      <c r="E30" s="10">
        <v>4</v>
      </c>
      <c r="F30" s="10">
        <v>4</v>
      </c>
      <c r="G30" s="9">
        <f t="shared" si="0"/>
        <v>31</v>
      </c>
      <c r="H30" s="10">
        <v>5</v>
      </c>
      <c r="I30" s="10">
        <v>5</v>
      </c>
      <c r="J30" s="10">
        <v>5</v>
      </c>
      <c r="K30" s="9">
        <f t="shared" si="1"/>
        <v>15</v>
      </c>
      <c r="L30" s="13">
        <f t="shared" si="2"/>
        <v>46</v>
      </c>
      <c r="M30" s="12">
        <f t="shared" si="3"/>
        <v>0.92</v>
      </c>
      <c r="N30" s="9" t="str">
        <f t="shared" si="4"/>
        <v>Strong</v>
      </c>
      <c r="O30" s="9">
        <f t="shared" si="5"/>
        <v>8</v>
      </c>
      <c r="P30" s="9" t="str">
        <f t="shared" si="6"/>
        <v>Graded</v>
      </c>
    </row>
    <row r="31" spans="1:16" x14ac:dyDescent="0.3">
      <c r="A31" s="9">
        <v>25</v>
      </c>
      <c r="B31" s="22" t="str">
        <f>IFERROR(INDEX(Roster!$D$5:$D$56,MATCH($A31,Roster!$A$5:$A$56,0)),"(not on roster)")</f>
        <v>Jocelyn Gonzalez</v>
      </c>
      <c r="C31" s="10">
        <v>7</v>
      </c>
      <c r="D31" s="10">
        <v>15</v>
      </c>
      <c r="E31" s="10">
        <v>5</v>
      </c>
      <c r="F31" s="10">
        <v>5</v>
      </c>
      <c r="G31" s="9">
        <f t="shared" si="0"/>
        <v>32</v>
      </c>
      <c r="H31" s="10">
        <v>5</v>
      </c>
      <c r="I31" s="10">
        <v>0</v>
      </c>
      <c r="J31" s="10">
        <v>5</v>
      </c>
      <c r="K31" s="9">
        <f t="shared" si="1"/>
        <v>10</v>
      </c>
      <c r="L31" s="13">
        <f t="shared" si="2"/>
        <v>42</v>
      </c>
      <c r="M31" s="12">
        <f t="shared" si="3"/>
        <v>0.84</v>
      </c>
      <c r="N31" s="9" t="str">
        <f t="shared" si="4"/>
        <v>Strong</v>
      </c>
      <c r="O31" s="9">
        <f t="shared" si="5"/>
        <v>22</v>
      </c>
      <c r="P31" s="9" t="str">
        <f t="shared" si="6"/>
        <v>Graded</v>
      </c>
    </row>
    <row r="32" spans="1:16" x14ac:dyDescent="0.3">
      <c r="A32" s="9">
        <v>26</v>
      </c>
      <c r="B32" s="22" t="str">
        <f>IFERROR(INDEX(Roster!$D$5:$D$56,MATCH($A32,Roster!$A$5:$A$56,0)),"(not on roster)")</f>
        <v>Michelle Gutierrez</v>
      </c>
      <c r="C32" s="10"/>
      <c r="D32" s="10"/>
      <c r="E32" s="10"/>
      <c r="F32" s="10"/>
      <c r="G32" s="9" t="str">
        <f t="shared" si="0"/>
        <v/>
      </c>
      <c r="H32" s="10"/>
      <c r="I32" s="10"/>
      <c r="J32" s="10"/>
      <c r="K32" s="9" t="str">
        <f t="shared" si="1"/>
        <v/>
      </c>
      <c r="L32" s="13" t="str">
        <f t="shared" si="2"/>
        <v/>
      </c>
      <c r="M32" s="12" t="str">
        <f t="shared" si="3"/>
        <v/>
      </c>
      <c r="N32" s="9" t="str">
        <f t="shared" si="4"/>
        <v/>
      </c>
      <c r="O32" s="9" t="str">
        <f t="shared" si="5"/>
        <v/>
      </c>
      <c r="P32" s="9" t="str">
        <f t="shared" si="6"/>
        <v>Missing</v>
      </c>
    </row>
    <row r="33" spans="1:16" x14ac:dyDescent="0.3">
      <c r="A33" s="9">
        <v>27</v>
      </c>
      <c r="B33" s="22" t="str">
        <f>IFERROR(INDEX(Roster!$D$5:$D$56,MATCH($A33,Roster!$A$5:$A$56,0)),"(not on roster)")</f>
        <v>Rachel Holmes</v>
      </c>
      <c r="C33" s="10">
        <v>3</v>
      </c>
      <c r="D33" s="10">
        <v>6</v>
      </c>
      <c r="E33" s="10">
        <v>4</v>
      </c>
      <c r="F33" s="10">
        <v>4</v>
      </c>
      <c r="G33" s="9">
        <f t="shared" si="0"/>
        <v>17</v>
      </c>
      <c r="H33" s="10">
        <v>5</v>
      </c>
      <c r="I33" s="10">
        <v>0</v>
      </c>
      <c r="J33" s="10">
        <v>5</v>
      </c>
      <c r="K33" s="9">
        <f t="shared" si="1"/>
        <v>10</v>
      </c>
      <c r="L33" s="13">
        <f t="shared" si="2"/>
        <v>27</v>
      </c>
      <c r="M33" s="12">
        <f t="shared" si="3"/>
        <v>0.54</v>
      </c>
      <c r="N33" s="9" t="str">
        <f t="shared" si="4"/>
        <v>Satisfactory</v>
      </c>
      <c r="O33" s="9">
        <f t="shared" si="5"/>
        <v>43</v>
      </c>
      <c r="P33" s="9" t="str">
        <f t="shared" si="6"/>
        <v>Graded</v>
      </c>
    </row>
    <row r="34" spans="1:16" x14ac:dyDescent="0.3">
      <c r="A34" s="9">
        <v>28</v>
      </c>
      <c r="B34" s="22" t="str">
        <f>IFERROR(INDEX(Roster!$D$5:$D$56,MATCH($A34,Roster!$A$5:$A$56,0)),"(not on roster)")</f>
        <v>Emily Ickert</v>
      </c>
      <c r="C34" s="10">
        <v>10</v>
      </c>
      <c r="D34" s="10">
        <v>15</v>
      </c>
      <c r="E34" s="10">
        <v>5</v>
      </c>
      <c r="F34" s="10">
        <v>5</v>
      </c>
      <c r="G34" s="9">
        <f t="shared" si="0"/>
        <v>35</v>
      </c>
      <c r="H34" s="10">
        <v>5</v>
      </c>
      <c r="I34" s="10">
        <v>5</v>
      </c>
      <c r="J34" s="10">
        <v>5</v>
      </c>
      <c r="K34" s="9">
        <f t="shared" si="1"/>
        <v>15</v>
      </c>
      <c r="L34" s="13">
        <f t="shared" si="2"/>
        <v>50</v>
      </c>
      <c r="M34" s="12">
        <f t="shared" si="3"/>
        <v>1</v>
      </c>
      <c r="N34" s="9" t="str">
        <f t="shared" si="4"/>
        <v>Strong</v>
      </c>
      <c r="O34" s="9">
        <f t="shared" si="5"/>
        <v>1</v>
      </c>
      <c r="P34" s="9" t="str">
        <f t="shared" si="6"/>
        <v>Graded</v>
      </c>
    </row>
    <row r="35" spans="1:16" x14ac:dyDescent="0.3">
      <c r="A35" s="9">
        <v>29</v>
      </c>
      <c r="B35" s="22" t="str">
        <f>IFERROR(INDEX(Roster!$D$5:$D$56,MATCH($A35,Roster!$A$5:$A$56,0)),"(not on roster)")</f>
        <v>Mihal Jacob</v>
      </c>
      <c r="C35" s="10">
        <v>5</v>
      </c>
      <c r="D35" s="10">
        <v>8</v>
      </c>
      <c r="E35" s="10">
        <v>4</v>
      </c>
      <c r="F35" s="10">
        <v>4</v>
      </c>
      <c r="G35" s="9">
        <f t="shared" si="0"/>
        <v>21</v>
      </c>
      <c r="H35" s="10">
        <v>5</v>
      </c>
      <c r="I35" s="10">
        <v>5</v>
      </c>
      <c r="J35" s="10">
        <v>5</v>
      </c>
      <c r="K35" s="9">
        <f t="shared" si="1"/>
        <v>15</v>
      </c>
      <c r="L35" s="13">
        <f t="shared" si="2"/>
        <v>36</v>
      </c>
      <c r="M35" s="12">
        <f t="shared" si="3"/>
        <v>0.72</v>
      </c>
      <c r="N35" s="9" t="str">
        <f t="shared" si="4"/>
        <v>Satisfactory</v>
      </c>
      <c r="O35" s="9">
        <f t="shared" si="5"/>
        <v>34</v>
      </c>
      <c r="P35" s="9" t="str">
        <f t="shared" si="6"/>
        <v>Graded</v>
      </c>
    </row>
    <row r="36" spans="1:16" x14ac:dyDescent="0.3">
      <c r="A36" s="9">
        <v>30</v>
      </c>
      <c r="B36" s="22" t="str">
        <f>IFERROR(INDEX(Roster!$D$5:$D$56,MATCH($A36,Roster!$A$5:$A$56,0)),"(not on roster)")</f>
        <v>Alyssa Jasso</v>
      </c>
      <c r="C36" s="10">
        <v>8</v>
      </c>
      <c r="D36" s="10">
        <v>8</v>
      </c>
      <c r="E36" s="10">
        <v>4</v>
      </c>
      <c r="F36" s="10">
        <v>4</v>
      </c>
      <c r="G36" s="9">
        <f t="shared" si="0"/>
        <v>24</v>
      </c>
      <c r="H36" s="10">
        <v>5</v>
      </c>
      <c r="I36" s="10">
        <v>5</v>
      </c>
      <c r="J36" s="10">
        <v>5</v>
      </c>
      <c r="K36" s="9">
        <f t="shared" si="1"/>
        <v>15</v>
      </c>
      <c r="L36" s="13">
        <f t="shared" si="2"/>
        <v>39</v>
      </c>
      <c r="M36" s="12">
        <f t="shared" si="3"/>
        <v>0.78</v>
      </c>
      <c r="N36" s="9" t="str">
        <f t="shared" si="4"/>
        <v>Satisfactory</v>
      </c>
      <c r="O36" s="9">
        <f t="shared" si="5"/>
        <v>28</v>
      </c>
      <c r="P36" s="9" t="str">
        <f t="shared" si="6"/>
        <v>Graded</v>
      </c>
    </row>
    <row r="37" spans="1:16" x14ac:dyDescent="0.3">
      <c r="A37" s="9">
        <v>31</v>
      </c>
      <c r="B37" s="22" t="str">
        <f>IFERROR(INDEX(Roster!$D$5:$D$56,MATCH($A37,Roster!$A$5:$A$56,0)),"(not on roster)")</f>
        <v>Isabella Juarez</v>
      </c>
      <c r="C37" s="10">
        <v>10</v>
      </c>
      <c r="D37" s="10">
        <v>15</v>
      </c>
      <c r="E37" s="10">
        <v>5</v>
      </c>
      <c r="F37" s="10">
        <v>5</v>
      </c>
      <c r="G37" s="9">
        <f t="shared" si="0"/>
        <v>35</v>
      </c>
      <c r="H37" s="10">
        <v>5</v>
      </c>
      <c r="I37" s="10">
        <v>5</v>
      </c>
      <c r="J37" s="10">
        <v>5</v>
      </c>
      <c r="K37" s="9">
        <f t="shared" si="1"/>
        <v>15</v>
      </c>
      <c r="L37" s="13">
        <f t="shared" si="2"/>
        <v>50</v>
      </c>
      <c r="M37" s="12">
        <f t="shared" si="3"/>
        <v>1</v>
      </c>
      <c r="N37" s="9" t="str">
        <f t="shared" si="4"/>
        <v>Strong</v>
      </c>
      <c r="O37" s="9">
        <f t="shared" si="5"/>
        <v>1</v>
      </c>
      <c r="P37" s="9" t="str">
        <f t="shared" si="6"/>
        <v>Graded</v>
      </c>
    </row>
    <row r="38" spans="1:16" ht="26.4" x14ac:dyDescent="0.3">
      <c r="A38" s="9">
        <v>32</v>
      </c>
      <c r="B38" s="22" t="str">
        <f>IFERROR(INDEX(Roster!$D$5:$D$56,MATCH($A38,Roster!$A$5:$A$56,0)),"(not on roster)")</f>
        <v>Maryam Ka</v>
      </c>
      <c r="C38" s="10">
        <v>0</v>
      </c>
      <c r="D38" s="10">
        <v>10</v>
      </c>
      <c r="E38" s="10">
        <v>4</v>
      </c>
      <c r="F38" s="10">
        <v>4</v>
      </c>
      <c r="G38" s="9">
        <f t="shared" si="0"/>
        <v>18</v>
      </c>
      <c r="H38" s="10">
        <v>0</v>
      </c>
      <c r="I38" s="10">
        <v>5</v>
      </c>
      <c r="J38" s="10">
        <v>0</v>
      </c>
      <c r="K38" s="9">
        <f t="shared" si="1"/>
        <v>5</v>
      </c>
      <c r="L38" s="13">
        <f t="shared" si="2"/>
        <v>23</v>
      </c>
      <c r="M38" s="12">
        <f t="shared" si="3"/>
        <v>0.46</v>
      </c>
      <c r="N38" s="9" t="str">
        <f t="shared" si="4"/>
        <v>Needs support</v>
      </c>
      <c r="O38" s="9">
        <f t="shared" si="5"/>
        <v>47</v>
      </c>
      <c r="P38" s="9" t="str">
        <f t="shared" si="6"/>
        <v>Graded</v>
      </c>
    </row>
    <row r="39" spans="1:16" x14ac:dyDescent="0.3">
      <c r="A39" s="9">
        <v>33</v>
      </c>
      <c r="B39" s="22" t="str">
        <f>IFERROR(INDEX(Roster!$D$5:$D$56,MATCH($A39,Roster!$A$5:$A$56,0)),"(not on roster)")</f>
        <v>Jenna Koestler</v>
      </c>
      <c r="C39" s="10">
        <v>5</v>
      </c>
      <c r="D39" s="10">
        <v>12</v>
      </c>
      <c r="E39" s="10">
        <v>4</v>
      </c>
      <c r="F39" s="10">
        <v>4</v>
      </c>
      <c r="G39" s="9">
        <f t="shared" ref="G39:G58" si="7">IF(COUNT(C39:F39)=0,"",SUM(C39:F39))</f>
        <v>25</v>
      </c>
      <c r="H39" s="10">
        <v>0</v>
      </c>
      <c r="I39" s="10">
        <v>5</v>
      </c>
      <c r="J39" s="10">
        <v>5</v>
      </c>
      <c r="K39" s="9">
        <f t="shared" ref="K39:K58" si="8">IF(COUNT(H39:J39)=0,"",SUM(H39:J39))</f>
        <v>10</v>
      </c>
      <c r="L39" s="13">
        <f t="shared" ref="L39:L58" si="9">IF(COUNT(C39:F39,H39:J39)=COUNT($C$5:$F$5,$H$5:$J$5),SUM(C39:F39,H39:J39),"")</f>
        <v>35</v>
      </c>
      <c r="M39" s="12">
        <f t="shared" ref="M39:M58" si="10">IF(ISNUMBER(L39),L39/$L$5,"")</f>
        <v>0.7</v>
      </c>
      <c r="N39" s="9" t="str">
        <f t="shared" ref="N39:N58" si="11">IF(ISNUMBER(L39),IF(L39&gt;=$S$3,"Strong",IF(L39&gt;=$S$4,"Satisfactory","Needs support")),"")</f>
        <v>Satisfactory</v>
      </c>
      <c r="O39" s="9">
        <f t="shared" ref="O39:O58" si="12">IF(ISNUMBER(L39),RANK(L39,$L$7:$L$58,0),"")</f>
        <v>35</v>
      </c>
      <c r="P39" s="9" t="str">
        <f t="shared" ref="P39:P58" si="13">IF(COUNT(C39:F39,H39:J39)=0,"Missing",IF(COUNT(C39:F39,H39:J39)&lt;COUNT($C$5:$F$5,$H$5:$J$5),"Incomplete","Graded"))</f>
        <v>Graded</v>
      </c>
    </row>
    <row r="40" spans="1:16" x14ac:dyDescent="0.3">
      <c r="A40" s="9">
        <v>34</v>
      </c>
      <c r="B40" s="22" t="str">
        <f>IFERROR(INDEX(Roster!$D$5:$D$56,MATCH($A40,Roster!$A$5:$A$56,0)),"(not on roster)")</f>
        <v>Shawn Kwende</v>
      </c>
      <c r="C40" s="10">
        <v>8</v>
      </c>
      <c r="D40" s="10">
        <v>15</v>
      </c>
      <c r="E40" s="10">
        <v>4</v>
      </c>
      <c r="F40" s="10">
        <v>4</v>
      </c>
      <c r="G40" s="9">
        <f t="shared" si="7"/>
        <v>31</v>
      </c>
      <c r="H40" s="10">
        <v>5</v>
      </c>
      <c r="I40" s="10">
        <v>5</v>
      </c>
      <c r="J40" s="10">
        <v>5</v>
      </c>
      <c r="K40" s="9">
        <f t="shared" si="8"/>
        <v>15</v>
      </c>
      <c r="L40" s="13">
        <f t="shared" si="9"/>
        <v>46</v>
      </c>
      <c r="M40" s="12">
        <f t="shared" si="10"/>
        <v>0.92</v>
      </c>
      <c r="N40" s="9" t="str">
        <f t="shared" si="11"/>
        <v>Strong</v>
      </c>
      <c r="O40" s="9">
        <f t="shared" si="12"/>
        <v>8</v>
      </c>
      <c r="P40" s="9" t="str">
        <f t="shared" si="13"/>
        <v>Graded</v>
      </c>
    </row>
    <row r="41" spans="1:16" x14ac:dyDescent="0.3">
      <c r="A41" s="9">
        <v>35</v>
      </c>
      <c r="B41" s="22" t="str">
        <f>IFERROR(INDEX(Roster!$D$5:$D$56,MATCH($A41,Roster!$A$5:$A$56,0)),"(not on roster)")</f>
        <v>Kara Larsen</v>
      </c>
      <c r="C41" s="10">
        <v>8</v>
      </c>
      <c r="D41" s="10">
        <v>15</v>
      </c>
      <c r="E41" s="10">
        <v>4</v>
      </c>
      <c r="F41" s="10">
        <v>4</v>
      </c>
      <c r="G41" s="9">
        <f t="shared" si="7"/>
        <v>31</v>
      </c>
      <c r="H41" s="10">
        <v>5</v>
      </c>
      <c r="I41" s="10">
        <v>0</v>
      </c>
      <c r="J41" s="10">
        <v>5</v>
      </c>
      <c r="K41" s="9">
        <f t="shared" si="8"/>
        <v>10</v>
      </c>
      <c r="L41" s="13">
        <f t="shared" si="9"/>
        <v>41</v>
      </c>
      <c r="M41" s="12">
        <f t="shared" si="10"/>
        <v>0.82</v>
      </c>
      <c r="N41" s="9" t="str">
        <f t="shared" si="11"/>
        <v>Strong</v>
      </c>
      <c r="O41" s="9">
        <f t="shared" si="12"/>
        <v>23</v>
      </c>
      <c r="P41" s="9" t="str">
        <f t="shared" si="13"/>
        <v>Graded</v>
      </c>
    </row>
    <row r="42" spans="1:16" ht="26.4" x14ac:dyDescent="0.3">
      <c r="A42" s="9">
        <v>36</v>
      </c>
      <c r="B42" s="22" t="str">
        <f>IFERROR(INDEX(Roster!$D$5:$D$56,MATCH($A42,Roster!$A$5:$A$56,0)),"(not on roster)")</f>
        <v>Diego Leal</v>
      </c>
      <c r="C42" s="10">
        <v>0</v>
      </c>
      <c r="D42" s="10">
        <v>8</v>
      </c>
      <c r="E42" s="10">
        <v>1</v>
      </c>
      <c r="F42" s="10">
        <v>2</v>
      </c>
      <c r="G42" s="9">
        <f t="shared" si="7"/>
        <v>11</v>
      </c>
      <c r="H42" s="10">
        <v>0</v>
      </c>
      <c r="I42" s="10">
        <v>0</v>
      </c>
      <c r="J42" s="10">
        <v>5</v>
      </c>
      <c r="K42" s="9">
        <f t="shared" si="8"/>
        <v>5</v>
      </c>
      <c r="L42" s="13">
        <f t="shared" si="9"/>
        <v>16</v>
      </c>
      <c r="M42" s="12">
        <f t="shared" si="10"/>
        <v>0.32</v>
      </c>
      <c r="N42" s="9" t="str">
        <f t="shared" si="11"/>
        <v>Needs support</v>
      </c>
      <c r="O42" s="9">
        <f t="shared" si="12"/>
        <v>50</v>
      </c>
      <c r="P42" s="9" t="str">
        <f t="shared" si="13"/>
        <v>Graded</v>
      </c>
    </row>
    <row r="43" spans="1:16" x14ac:dyDescent="0.3">
      <c r="A43" s="9">
        <v>37</v>
      </c>
      <c r="B43" s="22" t="str">
        <f>IFERROR(INDEX(Roster!$D$5:$D$56,MATCH($A43,Roster!$A$5:$A$56,0)),"(not on roster)")</f>
        <v>Valeria Leon</v>
      </c>
      <c r="C43" s="10">
        <v>10</v>
      </c>
      <c r="D43" s="10">
        <v>15</v>
      </c>
      <c r="E43" s="10">
        <v>5</v>
      </c>
      <c r="F43" s="10">
        <v>5</v>
      </c>
      <c r="G43" s="9">
        <f t="shared" si="7"/>
        <v>35</v>
      </c>
      <c r="H43" s="10">
        <v>5</v>
      </c>
      <c r="I43" s="10">
        <v>5</v>
      </c>
      <c r="J43" s="10">
        <v>5</v>
      </c>
      <c r="K43" s="9">
        <f t="shared" si="8"/>
        <v>15</v>
      </c>
      <c r="L43" s="13">
        <f t="shared" si="9"/>
        <v>50</v>
      </c>
      <c r="M43" s="12">
        <f t="shared" si="10"/>
        <v>1</v>
      </c>
      <c r="N43" s="9" t="str">
        <f t="shared" si="11"/>
        <v>Strong</v>
      </c>
      <c r="O43" s="9">
        <f t="shared" si="12"/>
        <v>1</v>
      </c>
      <c r="P43" s="9" t="str">
        <f t="shared" si="13"/>
        <v>Graded</v>
      </c>
    </row>
    <row r="44" spans="1:16" x14ac:dyDescent="0.3">
      <c r="A44" s="9">
        <v>38</v>
      </c>
      <c r="B44" s="22" t="str">
        <f>IFERROR(INDEX(Roster!$D$5:$D$56,MATCH($A44,Roster!$A$5:$A$56,0)),"(not on roster)")</f>
        <v>Aaron Linhart</v>
      </c>
      <c r="C44" s="10">
        <v>8</v>
      </c>
      <c r="D44" s="10">
        <v>12</v>
      </c>
      <c r="E44" s="10">
        <v>5</v>
      </c>
      <c r="F44" s="10">
        <v>5</v>
      </c>
      <c r="G44" s="9">
        <f t="shared" si="7"/>
        <v>30</v>
      </c>
      <c r="H44" s="10">
        <v>5</v>
      </c>
      <c r="I44" s="10">
        <v>5</v>
      </c>
      <c r="J44" s="10">
        <v>5</v>
      </c>
      <c r="K44" s="9">
        <f t="shared" si="8"/>
        <v>15</v>
      </c>
      <c r="L44" s="13">
        <f t="shared" si="9"/>
        <v>45</v>
      </c>
      <c r="M44" s="12">
        <f t="shared" si="10"/>
        <v>0.9</v>
      </c>
      <c r="N44" s="9" t="str">
        <f t="shared" si="11"/>
        <v>Strong</v>
      </c>
      <c r="O44" s="9">
        <f t="shared" si="12"/>
        <v>13</v>
      </c>
      <c r="P44" s="9" t="str">
        <f t="shared" si="13"/>
        <v>Graded</v>
      </c>
    </row>
    <row r="45" spans="1:16" x14ac:dyDescent="0.3">
      <c r="A45" s="9">
        <v>39</v>
      </c>
      <c r="B45" s="22" t="str">
        <f>IFERROR(INDEX(Roster!$D$5:$D$56,MATCH($A45,Roster!$A$5:$A$56,0)),"(not on roster)")</f>
        <v>Jared O'neal</v>
      </c>
      <c r="C45" s="10">
        <v>10</v>
      </c>
      <c r="D45" s="10">
        <v>15</v>
      </c>
      <c r="E45" s="10">
        <v>4</v>
      </c>
      <c r="F45" s="10">
        <v>4</v>
      </c>
      <c r="G45" s="9">
        <f t="shared" si="7"/>
        <v>33</v>
      </c>
      <c r="H45" s="10">
        <v>0</v>
      </c>
      <c r="I45" s="10">
        <v>0</v>
      </c>
      <c r="J45" s="10">
        <v>0</v>
      </c>
      <c r="K45" s="9">
        <f t="shared" si="8"/>
        <v>0</v>
      </c>
      <c r="L45" s="13">
        <f t="shared" si="9"/>
        <v>33</v>
      </c>
      <c r="M45" s="12">
        <f t="shared" si="10"/>
        <v>0.66</v>
      </c>
      <c r="N45" s="9" t="str">
        <f t="shared" si="11"/>
        <v>Satisfactory</v>
      </c>
      <c r="O45" s="9">
        <f t="shared" si="12"/>
        <v>36</v>
      </c>
      <c r="P45" s="9" t="str">
        <f t="shared" si="13"/>
        <v>Graded</v>
      </c>
    </row>
    <row r="46" spans="1:16" x14ac:dyDescent="0.3">
      <c r="A46" s="9">
        <v>40</v>
      </c>
      <c r="B46" s="22" t="str">
        <f>IFERROR(INDEX(Roster!$D$5:$D$56,MATCH($A46,Roster!$A$5:$A$56,0)),"(not on roster)")</f>
        <v>Daniela Osorio</v>
      </c>
      <c r="C46" s="10">
        <v>10</v>
      </c>
      <c r="D46" s="10">
        <v>15</v>
      </c>
      <c r="E46" s="10">
        <v>4</v>
      </c>
      <c r="F46" s="10">
        <v>4</v>
      </c>
      <c r="G46" s="9">
        <f t="shared" si="7"/>
        <v>33</v>
      </c>
      <c r="H46" s="10">
        <v>5</v>
      </c>
      <c r="I46" s="10">
        <v>5</v>
      </c>
      <c r="J46" s="10">
        <v>5</v>
      </c>
      <c r="K46" s="9">
        <f t="shared" si="8"/>
        <v>15</v>
      </c>
      <c r="L46" s="13">
        <f t="shared" si="9"/>
        <v>48</v>
      </c>
      <c r="M46" s="12">
        <f t="shared" si="10"/>
        <v>0.96</v>
      </c>
      <c r="N46" s="9" t="str">
        <f t="shared" si="11"/>
        <v>Strong</v>
      </c>
      <c r="O46" s="9">
        <f t="shared" si="12"/>
        <v>6</v>
      </c>
      <c r="P46" s="9" t="str">
        <f t="shared" si="13"/>
        <v>Graded</v>
      </c>
    </row>
    <row r="47" spans="1:16" x14ac:dyDescent="0.3">
      <c r="A47" s="9">
        <v>41</v>
      </c>
      <c r="B47" s="22" t="str">
        <f>IFERROR(INDEX(Roster!$D$5:$D$56,MATCH($A47,Roster!$A$5:$A$56,0)),"(not on roster)")</f>
        <v>Yasmine Padilla</v>
      </c>
      <c r="C47" s="10">
        <v>5</v>
      </c>
      <c r="D47" s="10">
        <v>12</v>
      </c>
      <c r="E47" s="10">
        <v>4</v>
      </c>
      <c r="F47" s="10">
        <v>4</v>
      </c>
      <c r="G47" s="9">
        <f t="shared" si="7"/>
        <v>25</v>
      </c>
      <c r="H47" s="10">
        <v>5</v>
      </c>
      <c r="I47" s="10">
        <v>5</v>
      </c>
      <c r="J47" s="10">
        <v>5</v>
      </c>
      <c r="K47" s="9">
        <f t="shared" si="8"/>
        <v>15</v>
      </c>
      <c r="L47" s="13">
        <f t="shared" si="9"/>
        <v>40</v>
      </c>
      <c r="M47" s="12">
        <f t="shared" si="10"/>
        <v>0.8</v>
      </c>
      <c r="N47" s="9" t="str">
        <f t="shared" si="11"/>
        <v>Strong</v>
      </c>
      <c r="O47" s="9">
        <f t="shared" si="12"/>
        <v>26</v>
      </c>
      <c r="P47" s="9" t="str">
        <f t="shared" si="13"/>
        <v>Graded</v>
      </c>
    </row>
    <row r="48" spans="1:16" x14ac:dyDescent="0.3">
      <c r="A48" s="9">
        <v>42</v>
      </c>
      <c r="B48" s="22" t="str">
        <f>IFERROR(INDEX(Roster!$D$5:$D$56,MATCH($A48,Roster!$A$5:$A$56,0)),"(not on roster)")</f>
        <v>Macie Perrio</v>
      </c>
      <c r="C48" s="10">
        <v>2</v>
      </c>
      <c r="D48" s="10">
        <v>8</v>
      </c>
      <c r="E48" s="10">
        <v>5</v>
      </c>
      <c r="F48" s="10">
        <v>4</v>
      </c>
      <c r="G48" s="9">
        <f t="shared" si="7"/>
        <v>19</v>
      </c>
      <c r="H48" s="10">
        <v>5</v>
      </c>
      <c r="I48" s="10">
        <v>0</v>
      </c>
      <c r="J48" s="10">
        <v>5</v>
      </c>
      <c r="K48" s="9">
        <f t="shared" si="8"/>
        <v>10</v>
      </c>
      <c r="L48" s="13">
        <f t="shared" si="9"/>
        <v>29</v>
      </c>
      <c r="M48" s="12">
        <f t="shared" si="10"/>
        <v>0.57999999999999996</v>
      </c>
      <c r="N48" s="9" t="str">
        <f t="shared" si="11"/>
        <v>Satisfactory</v>
      </c>
      <c r="O48" s="9">
        <f t="shared" si="12"/>
        <v>38</v>
      </c>
      <c r="P48" s="9" t="str">
        <f t="shared" si="13"/>
        <v>Graded</v>
      </c>
    </row>
    <row r="49" spans="1:16" x14ac:dyDescent="0.3">
      <c r="A49" s="9">
        <v>43</v>
      </c>
      <c r="B49" s="22" t="str">
        <f>IFERROR(INDEX(Roster!$D$5:$D$56,MATCH($A49,Roster!$A$5:$A$56,0)),"(not on roster)")</f>
        <v>Emmalie Potter</v>
      </c>
      <c r="C49" s="10">
        <v>3</v>
      </c>
      <c r="D49" s="10">
        <v>15</v>
      </c>
      <c r="E49" s="10">
        <v>5</v>
      </c>
      <c r="F49" s="10">
        <v>5</v>
      </c>
      <c r="G49" s="9">
        <f t="shared" si="7"/>
        <v>28</v>
      </c>
      <c r="H49" s="10">
        <v>5</v>
      </c>
      <c r="I49" s="10">
        <v>5</v>
      </c>
      <c r="J49" s="10">
        <v>0</v>
      </c>
      <c r="K49" s="9">
        <f t="shared" si="8"/>
        <v>10</v>
      </c>
      <c r="L49" s="13">
        <f t="shared" si="9"/>
        <v>38</v>
      </c>
      <c r="M49" s="12">
        <f t="shared" si="10"/>
        <v>0.76</v>
      </c>
      <c r="N49" s="9" t="str">
        <f t="shared" si="11"/>
        <v>Satisfactory</v>
      </c>
      <c r="O49" s="9">
        <f t="shared" si="12"/>
        <v>29</v>
      </c>
      <c r="P49" s="9" t="str">
        <f t="shared" si="13"/>
        <v>Graded</v>
      </c>
    </row>
    <row r="50" spans="1:16" x14ac:dyDescent="0.3">
      <c r="A50" s="9">
        <v>44</v>
      </c>
      <c r="B50" s="22" t="str">
        <f>IFERROR(INDEX(Roster!$D$5:$D$56,MATCH($A50,Roster!$A$5:$A$56,0)),"(not on roster)")</f>
        <v>Luke Presa</v>
      </c>
      <c r="C50" s="10">
        <v>8</v>
      </c>
      <c r="D50" s="10">
        <v>10</v>
      </c>
      <c r="E50" s="10">
        <v>5</v>
      </c>
      <c r="F50" s="10">
        <v>5</v>
      </c>
      <c r="G50" s="9">
        <f t="shared" si="7"/>
        <v>28</v>
      </c>
      <c r="H50" s="10">
        <v>5</v>
      </c>
      <c r="I50" s="10">
        <v>0</v>
      </c>
      <c r="J50" s="10">
        <v>5</v>
      </c>
      <c r="K50" s="9">
        <f t="shared" si="8"/>
        <v>10</v>
      </c>
      <c r="L50" s="13">
        <f t="shared" si="9"/>
        <v>38</v>
      </c>
      <c r="M50" s="12">
        <f t="shared" si="10"/>
        <v>0.76</v>
      </c>
      <c r="N50" s="9" t="str">
        <f t="shared" si="11"/>
        <v>Satisfactory</v>
      </c>
      <c r="O50" s="9">
        <f t="shared" si="12"/>
        <v>29</v>
      </c>
      <c r="P50" s="9" t="str">
        <f t="shared" si="13"/>
        <v>Graded</v>
      </c>
    </row>
    <row r="51" spans="1:16" x14ac:dyDescent="0.3">
      <c r="A51" s="9">
        <v>45</v>
      </c>
      <c r="B51" s="22" t="str">
        <f>IFERROR(INDEX(Roster!$D$5:$D$56,MATCH($A51,Roster!$A$5:$A$56,0)),"(not on roster)")</f>
        <v>Benny Reyes</v>
      </c>
      <c r="C51" s="10">
        <v>8</v>
      </c>
      <c r="D51" s="10">
        <v>15</v>
      </c>
      <c r="E51" s="10">
        <v>4</v>
      </c>
      <c r="F51" s="10">
        <v>3</v>
      </c>
      <c r="G51" s="9">
        <f t="shared" si="7"/>
        <v>30</v>
      </c>
      <c r="H51" s="10">
        <v>5</v>
      </c>
      <c r="I51" s="10">
        <v>0</v>
      </c>
      <c r="J51" s="10">
        <v>5</v>
      </c>
      <c r="K51" s="9">
        <f t="shared" si="8"/>
        <v>10</v>
      </c>
      <c r="L51" s="13">
        <f t="shared" si="9"/>
        <v>40</v>
      </c>
      <c r="M51" s="12">
        <f t="shared" si="10"/>
        <v>0.8</v>
      </c>
      <c r="N51" s="9" t="str">
        <f t="shared" si="11"/>
        <v>Strong</v>
      </c>
      <c r="O51" s="9">
        <f t="shared" si="12"/>
        <v>26</v>
      </c>
      <c r="P51" s="9" t="str">
        <f t="shared" si="13"/>
        <v>Graded</v>
      </c>
    </row>
    <row r="52" spans="1:16" x14ac:dyDescent="0.3">
      <c r="A52" s="9">
        <v>46</v>
      </c>
      <c r="B52" s="22" t="str">
        <f>IFERROR(INDEX(Roster!$D$5:$D$56,MATCH($A52,Roster!$A$5:$A$56,0)),"(not on roster)")</f>
        <v>Noah Rodriguez</v>
      </c>
      <c r="C52" s="10">
        <v>10</v>
      </c>
      <c r="D52" s="10">
        <v>10</v>
      </c>
      <c r="E52" s="10">
        <v>3</v>
      </c>
      <c r="F52" s="10">
        <v>4</v>
      </c>
      <c r="G52" s="9">
        <f t="shared" si="7"/>
        <v>27</v>
      </c>
      <c r="H52" s="10">
        <v>0</v>
      </c>
      <c r="I52" s="10">
        <v>5</v>
      </c>
      <c r="J52" s="10">
        <v>5</v>
      </c>
      <c r="K52" s="9">
        <f t="shared" si="8"/>
        <v>10</v>
      </c>
      <c r="L52" s="13">
        <f t="shared" si="9"/>
        <v>37</v>
      </c>
      <c r="M52" s="12">
        <f t="shared" si="10"/>
        <v>0.74</v>
      </c>
      <c r="N52" s="9" t="str">
        <f t="shared" si="11"/>
        <v>Satisfactory</v>
      </c>
      <c r="O52" s="9">
        <f t="shared" si="12"/>
        <v>33</v>
      </c>
      <c r="P52" s="9" t="str">
        <f t="shared" si="13"/>
        <v>Graded</v>
      </c>
    </row>
    <row r="53" spans="1:16" x14ac:dyDescent="0.3">
      <c r="A53" s="9">
        <v>47</v>
      </c>
      <c r="B53" s="22" t="str">
        <f>IFERROR(INDEX(Roster!$D$5:$D$56,MATCH($A53,Roster!$A$5:$A$56,0)),"(not on roster)")</f>
        <v>Roman Romashkin</v>
      </c>
      <c r="C53" s="10">
        <v>6</v>
      </c>
      <c r="D53" s="10">
        <v>10</v>
      </c>
      <c r="E53" s="10">
        <v>5</v>
      </c>
      <c r="F53" s="10">
        <v>5</v>
      </c>
      <c r="G53" s="9">
        <f t="shared" si="7"/>
        <v>26</v>
      </c>
      <c r="H53" s="10">
        <v>5</v>
      </c>
      <c r="I53" s="10">
        <v>5</v>
      </c>
      <c r="J53" s="10">
        <v>5</v>
      </c>
      <c r="K53" s="9">
        <f t="shared" si="8"/>
        <v>15</v>
      </c>
      <c r="L53" s="13">
        <f t="shared" si="9"/>
        <v>41</v>
      </c>
      <c r="M53" s="12">
        <f t="shared" si="10"/>
        <v>0.82</v>
      </c>
      <c r="N53" s="9" t="str">
        <f t="shared" si="11"/>
        <v>Strong</v>
      </c>
      <c r="O53" s="9">
        <f t="shared" si="12"/>
        <v>23</v>
      </c>
      <c r="P53" s="9" t="str">
        <f t="shared" si="13"/>
        <v>Graded</v>
      </c>
    </row>
    <row r="54" spans="1:16" x14ac:dyDescent="0.3">
      <c r="A54" s="9">
        <v>48</v>
      </c>
      <c r="B54" s="22" t="str">
        <f>IFERROR(INDEX(Roster!$D$5:$D$56,MATCH($A54,Roster!$A$5:$A$56,0)),"(not on roster)")</f>
        <v>Kayra Rushing</v>
      </c>
      <c r="C54" s="10">
        <v>6</v>
      </c>
      <c r="D54" s="10">
        <v>15</v>
      </c>
      <c r="E54" s="10">
        <v>5</v>
      </c>
      <c r="F54" s="10">
        <v>3</v>
      </c>
      <c r="G54" s="9">
        <f t="shared" si="7"/>
        <v>29</v>
      </c>
      <c r="H54" s="10">
        <v>5</v>
      </c>
      <c r="I54" s="10">
        <v>5</v>
      </c>
      <c r="J54" s="10">
        <v>5</v>
      </c>
      <c r="K54" s="9">
        <f t="shared" si="8"/>
        <v>15</v>
      </c>
      <c r="L54" s="13">
        <f t="shared" si="9"/>
        <v>44</v>
      </c>
      <c r="M54" s="12">
        <f t="shared" si="10"/>
        <v>0.88</v>
      </c>
      <c r="N54" s="9" t="str">
        <f t="shared" si="11"/>
        <v>Strong</v>
      </c>
      <c r="O54" s="9">
        <f t="shared" si="12"/>
        <v>14</v>
      </c>
      <c r="P54" s="9" t="str">
        <f t="shared" si="13"/>
        <v>Graded</v>
      </c>
    </row>
    <row r="55" spans="1:16" x14ac:dyDescent="0.3">
      <c r="A55" s="9">
        <v>49</v>
      </c>
      <c r="B55" s="22" t="str">
        <f>IFERROR(INDEX(Roster!$D$5:$D$56,MATCH($A55,Roster!$A$5:$A$56,0)),"(not on roster)")</f>
        <v>Brooke Salada</v>
      </c>
      <c r="C55" s="10">
        <v>0</v>
      </c>
      <c r="D55" s="10">
        <v>10</v>
      </c>
      <c r="E55" s="10">
        <v>2</v>
      </c>
      <c r="F55" s="10">
        <v>2</v>
      </c>
      <c r="G55" s="9">
        <f t="shared" si="7"/>
        <v>14</v>
      </c>
      <c r="H55" s="10">
        <v>5</v>
      </c>
      <c r="I55" s="10">
        <v>5</v>
      </c>
      <c r="J55" s="10">
        <v>5</v>
      </c>
      <c r="K55" s="9">
        <f t="shared" si="8"/>
        <v>15</v>
      </c>
      <c r="L55" s="13">
        <f t="shared" si="9"/>
        <v>29</v>
      </c>
      <c r="M55" s="12">
        <f t="shared" si="10"/>
        <v>0.57999999999999996</v>
      </c>
      <c r="N55" s="9" t="str">
        <f t="shared" si="11"/>
        <v>Satisfactory</v>
      </c>
      <c r="O55" s="9">
        <f t="shared" si="12"/>
        <v>38</v>
      </c>
      <c r="P55" s="9" t="str">
        <f t="shared" si="13"/>
        <v>Graded</v>
      </c>
    </row>
    <row r="56" spans="1:16" x14ac:dyDescent="0.3">
      <c r="A56" s="9">
        <v>50</v>
      </c>
      <c r="B56" s="22" t="str">
        <f>IFERROR(INDEX(Roster!$D$5:$D$56,MATCH($A56,Roster!$A$5:$A$56,0)),"(not on roster)")</f>
        <v>Haylee Senior</v>
      </c>
      <c r="C56" s="10">
        <v>3</v>
      </c>
      <c r="D56" s="10">
        <v>15</v>
      </c>
      <c r="E56" s="10">
        <v>5</v>
      </c>
      <c r="F56" s="10">
        <v>5</v>
      </c>
      <c r="G56" s="9">
        <f t="shared" si="7"/>
        <v>28</v>
      </c>
      <c r="H56" s="10">
        <v>5</v>
      </c>
      <c r="I56" s="10">
        <v>5</v>
      </c>
      <c r="J56" s="10">
        <v>5</v>
      </c>
      <c r="K56" s="9">
        <f t="shared" si="8"/>
        <v>15</v>
      </c>
      <c r="L56" s="13">
        <f t="shared" si="9"/>
        <v>43</v>
      </c>
      <c r="M56" s="12">
        <f t="shared" si="10"/>
        <v>0.86</v>
      </c>
      <c r="N56" s="9" t="str">
        <f t="shared" si="11"/>
        <v>Strong</v>
      </c>
      <c r="O56" s="9">
        <f t="shared" si="12"/>
        <v>17</v>
      </c>
      <c r="P56" s="9" t="str">
        <f t="shared" si="13"/>
        <v>Graded</v>
      </c>
    </row>
    <row r="57" spans="1:16" x14ac:dyDescent="0.3">
      <c r="A57" s="9">
        <v>51</v>
      </c>
      <c r="B57" s="22" t="str">
        <f>IFERROR(INDEX(Roster!$D$5:$D$56,MATCH($A57,Roster!$A$5:$A$56,0)),"(not on roster)")</f>
        <v>Hayley Tarin</v>
      </c>
      <c r="C57" s="10">
        <v>3</v>
      </c>
      <c r="D57" s="10">
        <v>10</v>
      </c>
      <c r="E57" s="10">
        <v>5</v>
      </c>
      <c r="F57" s="10">
        <v>5</v>
      </c>
      <c r="G57" s="9">
        <f t="shared" si="7"/>
        <v>23</v>
      </c>
      <c r="H57" s="10">
        <v>5</v>
      </c>
      <c r="I57" s="10">
        <v>5</v>
      </c>
      <c r="J57" s="10">
        <v>5</v>
      </c>
      <c r="K57" s="9">
        <f t="shared" si="8"/>
        <v>15</v>
      </c>
      <c r="L57" s="13">
        <f t="shared" si="9"/>
        <v>38</v>
      </c>
      <c r="M57" s="12">
        <f t="shared" si="10"/>
        <v>0.76</v>
      </c>
      <c r="N57" s="9" t="str">
        <f t="shared" si="11"/>
        <v>Satisfactory</v>
      </c>
      <c r="O57" s="9">
        <f t="shared" si="12"/>
        <v>29</v>
      </c>
      <c r="P57" s="9" t="str">
        <f t="shared" si="13"/>
        <v>Graded</v>
      </c>
    </row>
    <row r="58" spans="1:16" x14ac:dyDescent="0.3">
      <c r="A58" s="9">
        <v>52</v>
      </c>
      <c r="B58" s="22" t="str">
        <f>IFERROR(INDEX(Roster!$D$5:$D$56,MATCH($A58,Roster!$A$5:$A$56,0)),"(not on roster)")</f>
        <v>Shaman Wildman</v>
      </c>
      <c r="C58" s="10">
        <v>8</v>
      </c>
      <c r="D58" s="10">
        <v>15</v>
      </c>
      <c r="E58" s="10">
        <v>4</v>
      </c>
      <c r="F58" s="10">
        <v>4</v>
      </c>
      <c r="G58" s="9">
        <f t="shared" si="7"/>
        <v>31</v>
      </c>
      <c r="H58" s="10">
        <v>5</v>
      </c>
      <c r="I58" s="10">
        <v>0</v>
      </c>
      <c r="J58" s="10">
        <v>5</v>
      </c>
      <c r="K58" s="9">
        <f t="shared" si="8"/>
        <v>10</v>
      </c>
      <c r="L58" s="13">
        <f t="shared" si="9"/>
        <v>41</v>
      </c>
      <c r="M58" s="12">
        <f t="shared" si="10"/>
        <v>0.82</v>
      </c>
      <c r="N58" s="9" t="str">
        <f t="shared" si="11"/>
        <v>Strong</v>
      </c>
      <c r="O58" s="9">
        <f t="shared" si="12"/>
        <v>23</v>
      </c>
      <c r="P58" s="9" t="str">
        <f t="shared" si="13"/>
        <v>Graded</v>
      </c>
    </row>
    <row r="60" spans="1:16" x14ac:dyDescent="0.3">
      <c r="B60" s="23" t="s">
        <v>25</v>
      </c>
      <c r="C60" s="24">
        <f t="shared" ref="C60:M60" si="14">IFERROR(AVERAGE(C7:C58),"")</f>
        <v>6.32</v>
      </c>
      <c r="D60" s="24">
        <f t="shared" si="14"/>
        <v>11.92</v>
      </c>
      <c r="E60" s="24">
        <f t="shared" si="14"/>
        <v>4.1399999999999997</v>
      </c>
      <c r="F60" s="24">
        <f t="shared" si="14"/>
        <v>4.08</v>
      </c>
      <c r="G60" s="24">
        <f t="shared" si="14"/>
        <v>26.46</v>
      </c>
      <c r="H60" s="24">
        <f t="shared" si="14"/>
        <v>4.0999999999999996</v>
      </c>
      <c r="I60" s="24">
        <f t="shared" si="14"/>
        <v>3.2</v>
      </c>
      <c r="J60" s="24">
        <f t="shared" si="14"/>
        <v>4.4000000000000004</v>
      </c>
      <c r="K60" s="24">
        <f t="shared" si="14"/>
        <v>11.7</v>
      </c>
      <c r="L60" s="24">
        <f t="shared" si="14"/>
        <v>38.159999999999997</v>
      </c>
      <c r="M60" s="25">
        <f t="shared" si="14"/>
        <v>0.7632000000000001</v>
      </c>
    </row>
    <row r="61" spans="1:16" x14ac:dyDescent="0.3">
      <c r="B61" s="23" t="s">
        <v>26</v>
      </c>
      <c r="C61" s="25">
        <f t="shared" ref="C61:L61" si="15">IFERROR(C60/C$5,"")</f>
        <v>0.63200000000000001</v>
      </c>
      <c r="D61" s="25">
        <f t="shared" si="15"/>
        <v>0.79466666666666663</v>
      </c>
      <c r="E61" s="25">
        <f t="shared" si="15"/>
        <v>0.82799999999999996</v>
      </c>
      <c r="F61" s="25">
        <f t="shared" si="15"/>
        <v>0.81600000000000006</v>
      </c>
      <c r="G61" s="25">
        <f t="shared" si="15"/>
        <v>0.75600000000000001</v>
      </c>
      <c r="H61" s="25">
        <f t="shared" si="15"/>
        <v>0.82</v>
      </c>
      <c r="I61" s="25">
        <f t="shared" si="15"/>
        <v>0.64</v>
      </c>
      <c r="J61" s="25">
        <f t="shared" si="15"/>
        <v>0.88000000000000012</v>
      </c>
      <c r="K61" s="25">
        <f t="shared" si="15"/>
        <v>0.77999999999999992</v>
      </c>
      <c r="L61" s="25">
        <f t="shared" si="15"/>
        <v>0.76319999999999988</v>
      </c>
      <c r="M61" s="25"/>
    </row>
    <row r="62" spans="1:16" x14ac:dyDescent="0.3">
      <c r="B62" s="23" t="s">
        <v>27</v>
      </c>
      <c r="C62" s="26">
        <f t="shared" ref="C62:M62" si="16">IFERROR(MAX(C7:C58),"")</f>
        <v>10</v>
      </c>
      <c r="D62" s="26">
        <f t="shared" si="16"/>
        <v>15</v>
      </c>
      <c r="E62" s="26">
        <f t="shared" si="16"/>
        <v>5</v>
      </c>
      <c r="F62" s="26">
        <f t="shared" si="16"/>
        <v>5</v>
      </c>
      <c r="G62" s="26">
        <f t="shared" si="16"/>
        <v>35</v>
      </c>
      <c r="H62" s="26">
        <f t="shared" si="16"/>
        <v>5</v>
      </c>
      <c r="I62" s="26">
        <f t="shared" si="16"/>
        <v>5</v>
      </c>
      <c r="J62" s="26">
        <f t="shared" si="16"/>
        <v>5</v>
      </c>
      <c r="K62" s="26">
        <f t="shared" si="16"/>
        <v>15</v>
      </c>
      <c r="L62" s="26">
        <f t="shared" si="16"/>
        <v>50</v>
      </c>
      <c r="M62" s="25">
        <f t="shared" si="16"/>
        <v>1</v>
      </c>
    </row>
    <row r="63" spans="1:16" x14ac:dyDescent="0.3">
      <c r="B63" s="23" t="s">
        <v>28</v>
      </c>
      <c r="C63" s="26">
        <f t="shared" ref="C63:M63" si="17">IFERROR(MIN(C7:C58),"")</f>
        <v>0</v>
      </c>
      <c r="D63" s="26">
        <f t="shared" si="17"/>
        <v>5</v>
      </c>
      <c r="E63" s="26">
        <f t="shared" si="17"/>
        <v>1</v>
      </c>
      <c r="F63" s="26">
        <f t="shared" si="17"/>
        <v>2</v>
      </c>
      <c r="G63" s="26">
        <f t="shared" si="17"/>
        <v>11</v>
      </c>
      <c r="H63" s="26">
        <f t="shared" si="17"/>
        <v>0</v>
      </c>
      <c r="I63" s="26">
        <f t="shared" si="17"/>
        <v>0</v>
      </c>
      <c r="J63" s="26">
        <f t="shared" si="17"/>
        <v>0</v>
      </c>
      <c r="K63" s="26">
        <f t="shared" si="17"/>
        <v>0</v>
      </c>
      <c r="L63" s="26">
        <f t="shared" si="17"/>
        <v>16</v>
      </c>
      <c r="M63" s="25">
        <f t="shared" si="17"/>
        <v>0.32</v>
      </c>
    </row>
    <row r="64" spans="1:16" x14ac:dyDescent="0.3">
      <c r="B64" s="23" t="s">
        <v>29</v>
      </c>
      <c r="C64" s="26">
        <f t="shared" ref="C64:L64" si="18">IFERROR(COUNT(C7:C58),"")</f>
        <v>50</v>
      </c>
      <c r="D64" s="26">
        <f t="shared" si="18"/>
        <v>50</v>
      </c>
      <c r="E64" s="26">
        <f t="shared" si="18"/>
        <v>50</v>
      </c>
      <c r="F64" s="26">
        <f t="shared" si="18"/>
        <v>50</v>
      </c>
      <c r="G64" s="26">
        <f t="shared" si="18"/>
        <v>50</v>
      </c>
      <c r="H64" s="26">
        <f t="shared" si="18"/>
        <v>50</v>
      </c>
      <c r="I64" s="26">
        <f t="shared" si="18"/>
        <v>50</v>
      </c>
      <c r="J64" s="26">
        <f t="shared" si="18"/>
        <v>50</v>
      </c>
      <c r="K64" s="26">
        <f t="shared" si="18"/>
        <v>50</v>
      </c>
      <c r="L64" s="26">
        <f t="shared" si="18"/>
        <v>50</v>
      </c>
      <c r="M64" s="26"/>
    </row>
    <row r="65" spans="2:2" x14ac:dyDescent="0.3">
      <c r="B65" s="27" t="s">
        <v>30</v>
      </c>
    </row>
  </sheetData>
  <autoFilter ref="A6:P58" xr:uid="{00000000-0009-0000-0000-000003000000}"/>
  <mergeCells count="7">
    <mergeCell ref="A1:P1"/>
    <mergeCell ref="R2:S2"/>
    <mergeCell ref="A2:P2"/>
    <mergeCell ref="A4:B4"/>
    <mergeCell ref="H4:K4"/>
    <mergeCell ref="C4:G4"/>
    <mergeCell ref="L4:P4"/>
  </mergeCells>
  <conditionalFormatting sqref="A7:P58">
    <cfRule type="expression" dxfId="23" priority="1" stopIfTrue="1">
      <formula>$P7="Missing"</formula>
    </cfRule>
    <cfRule type="expression" dxfId="22" priority="12">
      <formula>MOD(ROW(),2)=0</formula>
    </cfRule>
  </conditionalFormatting>
  <conditionalFormatting sqref="C7:F58">
    <cfRule type="expression" dxfId="21" priority="8">
      <formula>AND(ISNUMBER(C7),C7=0)</formula>
    </cfRule>
  </conditionalFormatting>
  <conditionalFormatting sqref="H7:J58">
    <cfRule type="expression" dxfId="20" priority="9">
      <formula>AND(ISNUMBER(H7),H7=0)</formula>
    </cfRule>
  </conditionalFormatting>
  <conditionalFormatting sqref="L7:L58">
    <cfRule type="expression" dxfId="19" priority="2">
      <formula>AND(ISNUMBER($L7),$L7&gt;=$S$3)</formula>
    </cfRule>
    <cfRule type="expression" dxfId="18" priority="3">
      <formula>AND(ISNUMBER($L7),$L7&gt;=$S$4,$L7&lt;$S$3)</formula>
    </cfRule>
    <cfRule type="expression" dxfId="17" priority="4">
      <formula>AND(ISNUMBER($L7),$L7&lt;$S$4)</formula>
    </cfRule>
  </conditionalFormatting>
  <conditionalFormatting sqref="M7:M58">
    <cfRule type="dataBar" priority="10">
      <dataBar>
        <cfvo type="num" val="0"/>
        <cfvo type="num" val="1"/>
        <color rgb="FF9DC3E6"/>
      </dataBar>
    </cfRule>
  </conditionalFormatting>
  <conditionalFormatting sqref="N7:N58">
    <cfRule type="expression" dxfId="16" priority="5">
      <formula>AND(ISNUMBER($L7),$L7&gt;=$S$3)</formula>
    </cfRule>
    <cfRule type="expression" dxfId="15" priority="6">
      <formula>AND(ISNUMBER($L7),$L7&gt;=$S$4,$L7&lt;$S$3)</formula>
    </cfRule>
    <cfRule type="expression" dxfId="14" priority="7">
      <formula>AND(ISNUMBER($L7),$L7&lt;$S$4)</formula>
    </cfRule>
  </conditionalFormatting>
  <conditionalFormatting sqref="P7:P58">
    <cfRule type="expression" dxfId="13" priority="11">
      <formula>$P7="Incomplete"</formula>
    </cfRule>
  </conditionalFormatting>
  <dataValidations count="7">
    <dataValidation type="decimal" allowBlank="1" showErrorMessage="1" errorTitle="Score out of range" error="Score must be between 0 and the max points in row 5." sqref="C7:C58" xr:uid="{00000000-0002-0000-0300-000000000000}">
      <formula1>0</formula1>
      <formula2>$C$5</formula2>
    </dataValidation>
    <dataValidation type="decimal" allowBlank="1" showErrorMessage="1" errorTitle="Score out of range" error="Score must be between 0 and the max points in row 5." sqref="D7:D58" xr:uid="{00000000-0002-0000-0300-000001000000}">
      <formula1>0</formula1>
      <formula2>$D$5</formula2>
    </dataValidation>
    <dataValidation type="decimal" allowBlank="1" showErrorMessage="1" errorTitle="Score out of range" error="Score must be between 0 and the max points in row 5." sqref="E7:E58" xr:uid="{00000000-0002-0000-0300-000002000000}">
      <formula1>0</formula1>
      <formula2>$E$5</formula2>
    </dataValidation>
    <dataValidation type="decimal" allowBlank="1" showErrorMessage="1" errorTitle="Score out of range" error="Score must be between 0 and the max points in row 5." sqref="F7:F58" xr:uid="{00000000-0002-0000-0300-000003000000}">
      <formula1>0</formula1>
      <formula2>$F$5</formula2>
    </dataValidation>
    <dataValidation type="decimal" allowBlank="1" showErrorMessage="1" errorTitle="Score out of range" error="Score must be between 0 and the max points in row 5." sqref="H7:H58" xr:uid="{00000000-0002-0000-0300-000004000000}">
      <formula1>0</formula1>
      <formula2>$H$5</formula2>
    </dataValidation>
    <dataValidation type="decimal" allowBlank="1" showErrorMessage="1" errorTitle="Score out of range" error="Score must be between 0 and the max points in row 5." sqref="I7:I58" xr:uid="{00000000-0002-0000-0300-000005000000}">
      <formula1>0</formula1>
      <formula2>$I$5</formula2>
    </dataValidation>
    <dataValidation type="decimal" allowBlank="1" showErrorMessage="1" errorTitle="Score out of range" error="Score must be between 0 and the max points in row 5." sqref="J7:J58" xr:uid="{00000000-0002-0000-0300-000006000000}">
      <formula1>0</formula1>
      <formula2>$J$5</formula2>
    </dataValidation>
  </dataValidations>
  <printOptions horizontalCentered="1"/>
  <pageMargins left="0.75" right="0.75" top="1" bottom="1" header="0.5" footer="0.5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1D1D"/>
    <pageSetUpPr fitToPage="1"/>
  </sheetPr>
  <dimension ref="A1:Q14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N1"/>
    </sheetView>
  </sheetViews>
  <sheetFormatPr defaultRowHeight="14.4" x14ac:dyDescent="0.3"/>
  <cols>
    <col min="1" max="1" width="17" customWidth="1"/>
    <col min="2" max="2" width="8" customWidth="1"/>
    <col min="3" max="4" width="9" customWidth="1"/>
    <col min="5" max="5" width="10" customWidth="1"/>
    <col min="6" max="13" width="8" customWidth="1"/>
    <col min="14" max="14" width="16" customWidth="1"/>
    <col min="15" max="15" width="3" customWidth="1"/>
    <col min="16" max="16" width="30" customWidth="1"/>
    <col min="17" max="17" width="8" customWidth="1"/>
  </cols>
  <sheetData>
    <row r="1" spans="1:17" ht="30" customHeight="1" x14ac:dyDescent="0.3">
      <c r="A1" s="67" t="s">
        <v>40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7" ht="28.05" customHeight="1" x14ac:dyDescent="0.3">
      <c r="A2" s="61" t="s">
        <v>205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4" spans="1:17" ht="31.95" customHeight="1" x14ac:dyDescent="0.3">
      <c r="A4" s="8" t="s">
        <v>206</v>
      </c>
      <c r="B4" s="8" t="s">
        <v>207</v>
      </c>
      <c r="C4" s="8" t="s">
        <v>208</v>
      </c>
      <c r="D4" s="8" t="s">
        <v>209</v>
      </c>
      <c r="E4" s="8" t="s">
        <v>210</v>
      </c>
      <c r="F4" s="8" t="s">
        <v>211</v>
      </c>
      <c r="G4" s="8" t="s">
        <v>212</v>
      </c>
      <c r="H4" s="8" t="s">
        <v>28</v>
      </c>
      <c r="I4" s="8" t="s">
        <v>27</v>
      </c>
      <c r="J4" s="8" t="s">
        <v>213</v>
      </c>
      <c r="K4" s="8" t="s">
        <v>214</v>
      </c>
      <c r="L4" s="8" t="s">
        <v>215</v>
      </c>
      <c r="M4" s="8" t="s">
        <v>216</v>
      </c>
      <c r="N4" s="8" t="s">
        <v>217</v>
      </c>
      <c r="P4" s="59" t="s">
        <v>218</v>
      </c>
      <c r="Q4" s="60"/>
    </row>
    <row r="5" spans="1:17" x14ac:dyDescent="0.3">
      <c r="A5" s="22" t="str">
        <f>'Quiz 1 Grades'!C6</f>
        <v>1.1</v>
      </c>
      <c r="B5" s="9">
        <f>'Quiz 1 Grades'!C$5</f>
        <v>10</v>
      </c>
      <c r="C5" s="9">
        <f>COUNT('Quiz 1 Grades'!C$7:C$58)</f>
        <v>50</v>
      </c>
      <c r="D5" s="11">
        <f>IFERROR(AVERAGE('Quiz 1 Grades'!C$7:C$58),"")</f>
        <v>6.32</v>
      </c>
      <c r="E5" s="12">
        <f t="shared" ref="E5:E14" si="0">IFERROR(D5/B5,"")</f>
        <v>0.63200000000000001</v>
      </c>
      <c r="F5" s="11">
        <f>IFERROR(MEDIAN('Quiz 1 Grades'!C$7:C$58),"")</f>
        <v>8</v>
      </c>
      <c r="G5" s="11">
        <f>IFERROR(STDEV('Quiz 1 Grades'!C$7:C$58),"")</f>
        <v>3.145712988192285</v>
      </c>
      <c r="H5" s="9">
        <f>IFERROR(MIN('Quiz 1 Grades'!C$7:C$58),"")</f>
        <v>0</v>
      </c>
      <c r="I5" s="9">
        <f>IFERROR(MAX('Quiz 1 Grades'!C$7:C$58),"")</f>
        <v>10</v>
      </c>
      <c r="J5" s="9">
        <f>COUNTIF('Quiz 1 Grades'!C$7:C$58,B5)</f>
        <v>11</v>
      </c>
      <c r="K5" s="12">
        <f t="shared" ref="K5:K14" si="1">IFERROR(J5/C5,"")</f>
        <v>0.22</v>
      </c>
      <c r="L5" s="9">
        <f>COUNTIF('Quiz 1 Grades'!C$7:C$58,0)</f>
        <v>4</v>
      </c>
      <c r="M5" s="12">
        <f t="shared" ref="M5:M14" si="2">IFERROR(L5/C5,"")</f>
        <v>0.08</v>
      </c>
      <c r="N5" s="9" t="str">
        <f t="shared" ref="N5:N14" si="3">IF(ISNUMBER(E5),IF(OR(E5&lt;$Q$6,AND(ISNUMBER(M5),M5&gt;=$Q$7)),"Review in class",IF(E5&lt;$Q$5,"Monitor","OK")),"")</f>
        <v>Monitor</v>
      </c>
      <c r="P5" s="4" t="s">
        <v>219</v>
      </c>
      <c r="Q5" s="28">
        <v>0.75</v>
      </c>
    </row>
    <row r="6" spans="1:17" x14ac:dyDescent="0.3">
      <c r="A6" s="22" t="str">
        <f>'Quiz 1 Grades'!D6</f>
        <v>1.2</v>
      </c>
      <c r="B6" s="9">
        <f>'Quiz 1 Grades'!D$5</f>
        <v>15</v>
      </c>
      <c r="C6" s="9">
        <f>COUNT('Quiz 1 Grades'!D$7:D$58)</f>
        <v>50</v>
      </c>
      <c r="D6" s="11">
        <f>IFERROR(AVERAGE('Quiz 1 Grades'!D$7:D$58),"")</f>
        <v>11.92</v>
      </c>
      <c r="E6" s="12">
        <f t="shared" si="0"/>
        <v>0.79466666666666663</v>
      </c>
      <c r="F6" s="11">
        <f>IFERROR(MEDIAN('Quiz 1 Grades'!D$7:D$58),"")</f>
        <v>14</v>
      </c>
      <c r="G6" s="11">
        <f>IFERROR(STDEV('Quiz 1 Grades'!D$7:D$58),"")</f>
        <v>3.5157952623169937</v>
      </c>
      <c r="H6" s="9">
        <f>IFERROR(MIN('Quiz 1 Grades'!D$7:D$58),"")</f>
        <v>5</v>
      </c>
      <c r="I6" s="9">
        <f>IFERROR(MAX('Quiz 1 Grades'!D$7:D$58),"")</f>
        <v>15</v>
      </c>
      <c r="J6" s="9">
        <f>COUNTIF('Quiz 1 Grades'!D$7:D$58,B6)</f>
        <v>25</v>
      </c>
      <c r="K6" s="12">
        <f t="shared" si="1"/>
        <v>0.5</v>
      </c>
      <c r="L6" s="9">
        <f>COUNTIF('Quiz 1 Grades'!D$7:D$58,0)</f>
        <v>0</v>
      </c>
      <c r="M6" s="12">
        <f t="shared" si="2"/>
        <v>0</v>
      </c>
      <c r="N6" s="9" t="str">
        <f t="shared" si="3"/>
        <v>OK</v>
      </c>
      <c r="P6" s="4" t="s">
        <v>220</v>
      </c>
      <c r="Q6" s="28">
        <v>0.6</v>
      </c>
    </row>
    <row r="7" spans="1:17" x14ac:dyDescent="0.3">
      <c r="A7" s="22" t="str">
        <f>'Quiz 1 Grades'!E6</f>
        <v>1.3 A</v>
      </c>
      <c r="B7" s="9">
        <f>'Quiz 1 Grades'!E$5</f>
        <v>5</v>
      </c>
      <c r="C7" s="9">
        <f>COUNT('Quiz 1 Grades'!E$7:E$58)</f>
        <v>50</v>
      </c>
      <c r="D7" s="11">
        <f>IFERROR(AVERAGE('Quiz 1 Grades'!E$7:E$58),"")</f>
        <v>4.1399999999999997</v>
      </c>
      <c r="E7" s="12">
        <f t="shared" si="0"/>
        <v>0.82799999999999996</v>
      </c>
      <c r="F7" s="11">
        <f>IFERROR(MEDIAN('Quiz 1 Grades'!E$7:E$58),"")</f>
        <v>4</v>
      </c>
      <c r="G7" s="11">
        <f>IFERROR(STDEV('Quiz 1 Grades'!E$7:E$58),"")</f>
        <v>0.88086228625531382</v>
      </c>
      <c r="H7" s="9">
        <f>IFERROR(MIN('Quiz 1 Grades'!E$7:E$58),"")</f>
        <v>1</v>
      </c>
      <c r="I7" s="9">
        <f>IFERROR(MAX('Quiz 1 Grades'!E$7:E$58),"")</f>
        <v>5</v>
      </c>
      <c r="J7" s="9">
        <f>COUNTIF('Quiz 1 Grades'!E$7:E$58,B7)</f>
        <v>19</v>
      </c>
      <c r="K7" s="12">
        <f t="shared" si="1"/>
        <v>0.38</v>
      </c>
      <c r="L7" s="9">
        <f>COUNTIF('Quiz 1 Grades'!E$7:E$58,0)</f>
        <v>0</v>
      </c>
      <c r="M7" s="12">
        <f t="shared" si="2"/>
        <v>0</v>
      </c>
      <c r="N7" s="9" t="str">
        <f t="shared" si="3"/>
        <v>OK</v>
      </c>
      <c r="P7" s="4" t="s">
        <v>221</v>
      </c>
      <c r="Q7" s="28">
        <v>0.25</v>
      </c>
    </row>
    <row r="8" spans="1:17" x14ac:dyDescent="0.3">
      <c r="A8" s="22" t="str">
        <f>'Quiz 1 Grades'!F6</f>
        <v>1.3 B</v>
      </c>
      <c r="B8" s="9">
        <f>'Quiz 1 Grades'!F$5</f>
        <v>5</v>
      </c>
      <c r="C8" s="9">
        <f>COUNT('Quiz 1 Grades'!F$7:F$58)</f>
        <v>50</v>
      </c>
      <c r="D8" s="11">
        <f>IFERROR(AVERAGE('Quiz 1 Grades'!F$7:F$58),"")</f>
        <v>4.08</v>
      </c>
      <c r="E8" s="12">
        <f t="shared" si="0"/>
        <v>0.81600000000000006</v>
      </c>
      <c r="F8" s="11">
        <f>IFERROR(MEDIAN('Quiz 1 Grades'!F$7:F$58),"")</f>
        <v>4</v>
      </c>
      <c r="G8" s="11">
        <f>IFERROR(STDEV('Quiz 1 Grades'!F$7:F$58),"")</f>
        <v>0.8040712731125873</v>
      </c>
      <c r="H8" s="9">
        <f>IFERROR(MIN('Quiz 1 Grades'!F$7:F$58),"")</f>
        <v>2</v>
      </c>
      <c r="I8" s="9">
        <f>IFERROR(MAX('Quiz 1 Grades'!F$7:F$58),"")</f>
        <v>5</v>
      </c>
      <c r="J8" s="9">
        <f>COUNTIF('Quiz 1 Grades'!F$7:F$58,B8)</f>
        <v>16</v>
      </c>
      <c r="K8" s="12">
        <f t="shared" si="1"/>
        <v>0.32</v>
      </c>
      <c r="L8" s="9">
        <f>COUNTIF('Quiz 1 Grades'!F$7:F$58,0)</f>
        <v>0</v>
      </c>
      <c r="M8" s="12">
        <f t="shared" si="2"/>
        <v>0</v>
      </c>
      <c r="N8" s="9" t="str">
        <f t="shared" si="3"/>
        <v>OK</v>
      </c>
      <c r="P8" s="27" t="s">
        <v>222</v>
      </c>
    </row>
    <row r="9" spans="1:17" x14ac:dyDescent="0.3">
      <c r="A9" s="22" t="str">
        <f>'Quiz 1 Grades'!H6</f>
        <v>2.1</v>
      </c>
      <c r="B9" s="9">
        <f>'Quiz 1 Grades'!H$5</f>
        <v>5</v>
      </c>
      <c r="C9" s="9">
        <f>COUNT('Quiz 1 Grades'!H$7:H$58)</f>
        <v>50</v>
      </c>
      <c r="D9" s="11">
        <f>IFERROR(AVERAGE('Quiz 1 Grades'!H$7:H$58),"")</f>
        <v>4.0999999999999996</v>
      </c>
      <c r="E9" s="12">
        <f t="shared" si="0"/>
        <v>0.82</v>
      </c>
      <c r="F9" s="11">
        <f>IFERROR(MEDIAN('Quiz 1 Grades'!H$7:H$58),"")</f>
        <v>5</v>
      </c>
      <c r="G9" s="11">
        <f>IFERROR(STDEV('Quiz 1 Grades'!H$7:H$58),"")</f>
        <v>1.940439672458018</v>
      </c>
      <c r="H9" s="9">
        <f>IFERROR(MIN('Quiz 1 Grades'!H$7:H$58),"")</f>
        <v>0</v>
      </c>
      <c r="I9" s="9">
        <f>IFERROR(MAX('Quiz 1 Grades'!H$7:H$58),"")</f>
        <v>5</v>
      </c>
      <c r="J9" s="9">
        <f>COUNTIF('Quiz 1 Grades'!H$7:H$58,B9)</f>
        <v>41</v>
      </c>
      <c r="K9" s="12">
        <f t="shared" si="1"/>
        <v>0.82</v>
      </c>
      <c r="L9" s="9">
        <f>COUNTIF('Quiz 1 Grades'!H$7:H$58,0)</f>
        <v>9</v>
      </c>
      <c r="M9" s="12">
        <f t="shared" si="2"/>
        <v>0.18</v>
      </c>
      <c r="N9" s="9" t="str">
        <f t="shared" si="3"/>
        <v>OK</v>
      </c>
    </row>
    <row r="10" spans="1:17" x14ac:dyDescent="0.3">
      <c r="A10" s="22" t="str">
        <f>'Quiz 1 Grades'!I6</f>
        <v>2.2</v>
      </c>
      <c r="B10" s="9">
        <f>'Quiz 1 Grades'!I$5</f>
        <v>5</v>
      </c>
      <c r="C10" s="9">
        <f>COUNT('Quiz 1 Grades'!I$7:I$58)</f>
        <v>50</v>
      </c>
      <c r="D10" s="11">
        <f>IFERROR(AVERAGE('Quiz 1 Grades'!I$7:I$58),"")</f>
        <v>3.2</v>
      </c>
      <c r="E10" s="12">
        <f t="shared" si="0"/>
        <v>0.64</v>
      </c>
      <c r="F10" s="11">
        <f>IFERROR(MEDIAN('Quiz 1 Grades'!I$7:I$58),"")</f>
        <v>5</v>
      </c>
      <c r="G10" s="11">
        <f>IFERROR(STDEV('Quiz 1 Grades'!I$7:I$58),"")</f>
        <v>2.424366106925306</v>
      </c>
      <c r="H10" s="9">
        <f>IFERROR(MIN('Quiz 1 Grades'!I$7:I$58),"")</f>
        <v>0</v>
      </c>
      <c r="I10" s="9">
        <f>IFERROR(MAX('Quiz 1 Grades'!I$7:I$58),"")</f>
        <v>5</v>
      </c>
      <c r="J10" s="9">
        <f>COUNTIF('Quiz 1 Grades'!I$7:I$58,B10)</f>
        <v>32</v>
      </c>
      <c r="K10" s="12">
        <f t="shared" si="1"/>
        <v>0.64</v>
      </c>
      <c r="L10" s="9">
        <f>COUNTIF('Quiz 1 Grades'!I$7:I$58,0)</f>
        <v>18</v>
      </c>
      <c r="M10" s="12">
        <f t="shared" si="2"/>
        <v>0.36</v>
      </c>
      <c r="N10" s="9" t="str">
        <f t="shared" si="3"/>
        <v>Review in class</v>
      </c>
    </row>
    <row r="11" spans="1:17" x14ac:dyDescent="0.3">
      <c r="A11" s="22" t="str">
        <f>'Quiz 1 Grades'!J6</f>
        <v>2.3</v>
      </c>
      <c r="B11" s="9">
        <f>'Quiz 1 Grades'!J$5</f>
        <v>5</v>
      </c>
      <c r="C11" s="9">
        <f>COUNT('Quiz 1 Grades'!J$7:J$58)</f>
        <v>50</v>
      </c>
      <c r="D11" s="11">
        <f>IFERROR(AVERAGE('Quiz 1 Grades'!J$7:J$58),"")</f>
        <v>4.4000000000000004</v>
      </c>
      <c r="E11" s="12">
        <f t="shared" si="0"/>
        <v>0.88000000000000012</v>
      </c>
      <c r="F11" s="11">
        <f>IFERROR(MEDIAN('Quiz 1 Grades'!J$7:J$58),"")</f>
        <v>5</v>
      </c>
      <c r="G11" s="11">
        <f>IFERROR(STDEV('Quiz 1 Grades'!J$7:J$58),"")</f>
        <v>1.6413036132965795</v>
      </c>
      <c r="H11" s="9">
        <f>IFERROR(MIN('Quiz 1 Grades'!J$7:J$58),"")</f>
        <v>0</v>
      </c>
      <c r="I11" s="9">
        <f>IFERROR(MAX('Quiz 1 Grades'!J$7:J$58),"")</f>
        <v>5</v>
      </c>
      <c r="J11" s="9">
        <f>COUNTIF('Quiz 1 Grades'!J$7:J$58,B11)</f>
        <v>44</v>
      </c>
      <c r="K11" s="12">
        <f t="shared" si="1"/>
        <v>0.88</v>
      </c>
      <c r="L11" s="9">
        <f>COUNTIF('Quiz 1 Grades'!J$7:J$58,0)</f>
        <v>6</v>
      </c>
      <c r="M11" s="12">
        <f t="shared" si="2"/>
        <v>0.12</v>
      </c>
      <c r="N11" s="9" t="str">
        <f t="shared" si="3"/>
        <v>OK</v>
      </c>
    </row>
    <row r="12" spans="1:17" x14ac:dyDescent="0.3">
      <c r="A12" s="29" t="s">
        <v>223</v>
      </c>
      <c r="B12" s="30">
        <f>'Quiz 1 Grades'!G$5</f>
        <v>35</v>
      </c>
      <c r="C12" s="30">
        <f>COUNT('Quiz 1 Grades'!G$7:G$58)</f>
        <v>50</v>
      </c>
      <c r="D12" s="24">
        <f>IFERROR(AVERAGE('Quiz 1 Grades'!G$7:G$58),"")</f>
        <v>26.46</v>
      </c>
      <c r="E12" s="25">
        <f t="shared" si="0"/>
        <v>0.75600000000000001</v>
      </c>
      <c r="F12" s="24">
        <f>IFERROR(MEDIAN('Quiz 1 Grades'!G$7:G$58),"")</f>
        <v>28</v>
      </c>
      <c r="G12" s="24">
        <f>IFERROR(STDEV('Quiz 1 Grades'!G$7:G$58),"")</f>
        <v>6.6920909761189762</v>
      </c>
      <c r="H12" s="30">
        <f>IFERROR(MIN('Quiz 1 Grades'!G$7:G$58),"")</f>
        <v>11</v>
      </c>
      <c r="I12" s="30">
        <f>IFERROR(MAX('Quiz 1 Grades'!G$7:G$58),"")</f>
        <v>35</v>
      </c>
      <c r="J12" s="30">
        <f>COUNTIF('Quiz 1 Grades'!G$7:G$58,B12)</f>
        <v>5</v>
      </c>
      <c r="K12" s="25">
        <f t="shared" si="1"/>
        <v>0.1</v>
      </c>
      <c r="L12" s="30">
        <f>COUNTIF('Quiz 1 Grades'!G$7:G$58,0)</f>
        <v>0</v>
      </c>
      <c r="M12" s="25">
        <f t="shared" si="2"/>
        <v>0</v>
      </c>
      <c r="N12" s="30" t="str">
        <f t="shared" si="3"/>
        <v>OK</v>
      </c>
    </row>
    <row r="13" spans="1:17" x14ac:dyDescent="0.3">
      <c r="A13" s="29" t="s">
        <v>224</v>
      </c>
      <c r="B13" s="30">
        <f>'Quiz 1 Grades'!K$5</f>
        <v>15</v>
      </c>
      <c r="C13" s="30">
        <f>COUNT('Quiz 1 Grades'!K$7:K$58)</f>
        <v>50</v>
      </c>
      <c r="D13" s="24">
        <f>IFERROR(AVERAGE('Quiz 1 Grades'!K$7:K$58),"")</f>
        <v>11.7</v>
      </c>
      <c r="E13" s="25">
        <f t="shared" si="0"/>
        <v>0.77999999999999992</v>
      </c>
      <c r="F13" s="24">
        <f>IFERROR(MEDIAN('Quiz 1 Grades'!K$7:K$58),"")</f>
        <v>12.5</v>
      </c>
      <c r="G13" s="24">
        <f>IFERROR(STDEV('Quiz 1 Grades'!K$7:K$58),"")</f>
        <v>3.9910614413425693</v>
      </c>
      <c r="H13" s="30">
        <f>IFERROR(MIN('Quiz 1 Grades'!K$7:K$58),"")</f>
        <v>0</v>
      </c>
      <c r="I13" s="30">
        <f>IFERROR(MAX('Quiz 1 Grades'!K$7:K$58),"")</f>
        <v>15</v>
      </c>
      <c r="J13" s="30">
        <f>COUNTIF('Quiz 1 Grades'!K$7:K$58,B13)</f>
        <v>25</v>
      </c>
      <c r="K13" s="25">
        <f t="shared" si="1"/>
        <v>0.5</v>
      </c>
      <c r="L13" s="30">
        <f>COUNTIF('Quiz 1 Grades'!K$7:K$58,0)</f>
        <v>2</v>
      </c>
      <c r="M13" s="25">
        <f t="shared" si="2"/>
        <v>0.04</v>
      </c>
      <c r="N13" s="30" t="str">
        <f t="shared" si="3"/>
        <v>OK</v>
      </c>
    </row>
    <row r="14" spans="1:17" x14ac:dyDescent="0.3">
      <c r="A14" s="29" t="s">
        <v>225</v>
      </c>
      <c r="B14" s="30">
        <f>'Quiz 1 Grades'!L$5</f>
        <v>50</v>
      </c>
      <c r="C14" s="30">
        <f>COUNT('Quiz 1 Grades'!L$7:L$58)</f>
        <v>50</v>
      </c>
      <c r="D14" s="24">
        <f>IFERROR(AVERAGE('Quiz 1 Grades'!L$7:L$58),"")</f>
        <v>38.159999999999997</v>
      </c>
      <c r="E14" s="25">
        <f t="shared" si="0"/>
        <v>0.76319999999999988</v>
      </c>
      <c r="F14" s="24">
        <f>IFERROR(MEDIAN('Quiz 1 Grades'!L$7:L$58),"")</f>
        <v>40.5</v>
      </c>
      <c r="G14" s="24">
        <f>IFERROR(STDEV('Quiz 1 Grades'!L$7:L$58),"")</f>
        <v>8.883279409161041</v>
      </c>
      <c r="H14" s="30">
        <f>IFERROR(MIN('Quiz 1 Grades'!L$7:L$58),"")</f>
        <v>16</v>
      </c>
      <c r="I14" s="30">
        <f>IFERROR(MAX('Quiz 1 Grades'!L$7:L$58),"")</f>
        <v>50</v>
      </c>
      <c r="J14" s="30">
        <f>COUNTIF('Quiz 1 Grades'!L$7:L$58,B14)</f>
        <v>5</v>
      </c>
      <c r="K14" s="25">
        <f t="shared" si="1"/>
        <v>0.1</v>
      </c>
      <c r="L14" s="30">
        <f>COUNTIF('Quiz 1 Grades'!L$7:L$58,0)</f>
        <v>0</v>
      </c>
      <c r="M14" s="25">
        <f t="shared" si="2"/>
        <v>0</v>
      </c>
      <c r="N14" s="30" t="str">
        <f t="shared" si="3"/>
        <v>OK</v>
      </c>
    </row>
  </sheetData>
  <mergeCells count="3">
    <mergeCell ref="P4:Q4"/>
    <mergeCell ref="A2:N2"/>
    <mergeCell ref="A1:N1"/>
  </mergeCells>
  <conditionalFormatting sqref="E5:E14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conditionalFormatting sqref="N5:N14">
    <cfRule type="expression" dxfId="12" priority="2">
      <formula>N5="Review in class"</formula>
    </cfRule>
    <cfRule type="expression" dxfId="11" priority="3">
      <formula>N5="Monitor"</formula>
    </cfRule>
    <cfRule type="expression" dxfId="10" priority="4">
      <formula>N5="OK"</formula>
    </cfRule>
  </conditionalFormatting>
  <printOptions horizontalCentered="1"/>
  <pageMargins left="0.75" right="0.75" top="1" bottom="1" header="0.5" footer="0.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  <pageSetUpPr fitToPage="1"/>
  </sheetPr>
  <dimension ref="A1:H24"/>
  <sheetViews>
    <sheetView showGridLines="0" workbookViewId="0">
      <selection sqref="A1:H1"/>
    </sheetView>
  </sheetViews>
  <sheetFormatPr defaultRowHeight="14.4" x14ac:dyDescent="0.3"/>
  <cols>
    <col min="1" max="1" width="34" customWidth="1"/>
    <col min="2" max="2" width="12" customWidth="1"/>
    <col min="3" max="3" width="10" customWidth="1"/>
    <col min="4" max="4" width="12" customWidth="1"/>
    <col min="5" max="5" width="16" customWidth="1"/>
    <col min="6" max="6" width="12" customWidth="1"/>
    <col min="7" max="7" width="11" customWidth="1"/>
    <col min="8" max="8" width="12" customWidth="1"/>
  </cols>
  <sheetData>
    <row r="1" spans="1:8" ht="30" customHeight="1" x14ac:dyDescent="0.3">
      <c r="A1" s="67" t="s">
        <v>226</v>
      </c>
      <c r="B1" s="68"/>
      <c r="C1" s="68"/>
      <c r="D1" s="68"/>
      <c r="E1" s="68"/>
      <c r="F1" s="68"/>
      <c r="G1" s="68"/>
      <c r="H1" s="68"/>
    </row>
    <row r="2" spans="1:8" ht="28.05" customHeight="1" x14ac:dyDescent="0.3">
      <c r="A2" s="61" t="s">
        <v>227</v>
      </c>
      <c r="B2" s="62"/>
      <c r="C2" s="62"/>
      <c r="D2" s="62"/>
      <c r="E2" s="62"/>
      <c r="F2" s="62"/>
      <c r="G2" s="62"/>
      <c r="H2" s="62"/>
    </row>
    <row r="4" spans="1:8" ht="22.05" customHeight="1" x14ac:dyDescent="0.3">
      <c r="A4" s="69" t="s">
        <v>228</v>
      </c>
      <c r="B4" s="62"/>
      <c r="C4" s="62"/>
      <c r="E4" s="69" t="s">
        <v>2</v>
      </c>
      <c r="F4" s="62"/>
      <c r="G4" s="62"/>
      <c r="H4" s="62"/>
    </row>
    <row r="5" spans="1:8" ht="19.95" customHeight="1" x14ac:dyDescent="0.3">
      <c r="A5" s="4" t="s">
        <v>196</v>
      </c>
      <c r="B5" s="14">
        <f>COUNTA(Roster!$B$5:$B$56)</f>
        <v>52</v>
      </c>
      <c r="E5" s="8" t="s">
        <v>229</v>
      </c>
      <c r="F5" s="8" t="s">
        <v>230</v>
      </c>
      <c r="G5" s="8" t="s">
        <v>192</v>
      </c>
      <c r="H5" s="8" t="s">
        <v>231</v>
      </c>
    </row>
    <row r="6" spans="1:8" x14ac:dyDescent="0.3">
      <c r="A6" s="4" t="s">
        <v>232</v>
      </c>
      <c r="B6" s="14">
        <f>COUNTIF('Quiz 1 Grades'!$P$7:$P$58,"Graded")</f>
        <v>50</v>
      </c>
      <c r="E6" s="31" t="s">
        <v>233</v>
      </c>
      <c r="F6" s="9" t="str">
        <f>"≥ "&amp;'Quiz 1 Grades'!$S$3</f>
        <v>≥ 40</v>
      </c>
      <c r="G6" s="14">
        <f>COUNTIF('Quiz 1 Grades'!$N$7:$N$58,E6)</f>
        <v>27</v>
      </c>
      <c r="H6" s="12">
        <f>IFERROR(G6/SUM($G$6:$G$8),"")</f>
        <v>0.54</v>
      </c>
    </row>
    <row r="7" spans="1:8" x14ac:dyDescent="0.3">
      <c r="A7" s="4" t="s">
        <v>234</v>
      </c>
      <c r="B7" s="14">
        <f>COUNTIF('Quiz 1 Grades'!$P$7:$P$58,"Incomplete")</f>
        <v>0</v>
      </c>
      <c r="E7" s="32" t="s">
        <v>235</v>
      </c>
      <c r="F7" s="9" t="str">
        <f>'Quiz 1 Grades'!$S$4&amp;" – "&amp;('Quiz 1 Grades'!$S$3-1)</f>
        <v>26 – 39</v>
      </c>
      <c r="G7" s="14">
        <f>COUNTIF('Quiz 1 Grades'!$N$7:$N$58,E7)</f>
        <v>19</v>
      </c>
      <c r="H7" s="12">
        <f>IFERROR(G7/SUM($G$6:$G$8),"")</f>
        <v>0.38</v>
      </c>
    </row>
    <row r="8" spans="1:8" x14ac:dyDescent="0.3">
      <c r="A8" s="4" t="s">
        <v>236</v>
      </c>
      <c r="B8" s="14">
        <f>COUNTIF('Quiz 1 Grades'!$P$7:$P$58,"Missing")</f>
        <v>2</v>
      </c>
      <c r="E8" s="33" t="s">
        <v>237</v>
      </c>
      <c r="F8" s="9" t="str">
        <f>"&lt; "&amp;'Quiz 1 Grades'!$S$4</f>
        <v>&lt; 26</v>
      </c>
      <c r="G8" s="14">
        <f>COUNTIF('Quiz 1 Grades'!$N$7:$N$58,E8)</f>
        <v>4</v>
      </c>
      <c r="H8" s="12">
        <f>IFERROR(G8/SUM($G$6:$G$8),"")</f>
        <v>0.08</v>
      </c>
    </row>
    <row r="9" spans="1:8" x14ac:dyDescent="0.3">
      <c r="A9" s="4" t="s">
        <v>238</v>
      </c>
      <c r="B9" s="34">
        <f>IFERROR(AVERAGE('Quiz 1 Grades'!$L$7:$L$58),"")</f>
        <v>38.159999999999997</v>
      </c>
      <c r="E9" s="1" t="s">
        <v>239</v>
      </c>
      <c r="G9" s="14">
        <f>SUM(G6:G8)</f>
        <v>50</v>
      </c>
    </row>
    <row r="10" spans="1:8" x14ac:dyDescent="0.3">
      <c r="A10" s="4" t="s">
        <v>240</v>
      </c>
      <c r="B10" s="35">
        <f>IFERROR(B9/'Quiz 1 Grades'!$L$5,"")</f>
        <v>0.76319999999999988</v>
      </c>
    </row>
    <row r="11" spans="1:8" x14ac:dyDescent="0.3">
      <c r="A11" s="4" t="s">
        <v>241</v>
      </c>
      <c r="B11" s="34">
        <f>IFERROR(MEDIAN('Quiz 1 Grades'!$L$7:$L$58),"")</f>
        <v>40.5</v>
      </c>
    </row>
    <row r="12" spans="1:8" x14ac:dyDescent="0.3">
      <c r="A12" s="4" t="s">
        <v>242</v>
      </c>
      <c r="B12" s="34">
        <f>IFERROR(STDEV('Quiz 1 Grades'!$L$7:$L$58),"")</f>
        <v>8.883279409161041</v>
      </c>
    </row>
    <row r="13" spans="1:8" x14ac:dyDescent="0.3">
      <c r="A13" s="4" t="s">
        <v>243</v>
      </c>
      <c r="B13" s="14">
        <f>IFERROR(MAX('Quiz 1 Grades'!$L$7:$L$58),"")</f>
        <v>50</v>
      </c>
    </row>
    <row r="14" spans="1:8" x14ac:dyDescent="0.3">
      <c r="A14" s="4" t="s">
        <v>244</v>
      </c>
      <c r="B14" s="14">
        <f>IFERROR(MIN('Quiz 1 Grades'!$L$7:$L$58),"")</f>
        <v>16</v>
      </c>
    </row>
    <row r="16" spans="1:8" ht="22.05" customHeight="1" x14ac:dyDescent="0.3">
      <c r="A16" s="69" t="s">
        <v>245</v>
      </c>
      <c r="B16" s="62"/>
      <c r="C16" s="62"/>
    </row>
    <row r="17" spans="1:4" ht="19.95" customHeight="1" x14ac:dyDescent="0.3">
      <c r="A17" s="8" t="s">
        <v>246</v>
      </c>
      <c r="B17" s="8" t="s">
        <v>247</v>
      </c>
      <c r="C17" s="8" t="s">
        <v>248</v>
      </c>
      <c r="D17" s="8" t="s">
        <v>192</v>
      </c>
    </row>
    <row r="18" spans="1:4" x14ac:dyDescent="0.3">
      <c r="A18" s="9" t="str">
        <f>B18&amp;"–"&amp;C18</f>
        <v>0–9</v>
      </c>
      <c r="B18" s="10">
        <v>0</v>
      </c>
      <c r="C18" s="10">
        <v>9</v>
      </c>
      <c r="D18" s="14">
        <f>COUNTIFS('Quiz 1 Grades'!$L$7:$L$58,"&gt;="&amp;B18,'Quiz 1 Grades'!$L$7:$L$58,"&lt;"&amp;(C18+1))</f>
        <v>0</v>
      </c>
    </row>
    <row r="19" spans="1:4" x14ac:dyDescent="0.3">
      <c r="A19" s="9" t="str">
        <f>B19&amp;"–"&amp;C19</f>
        <v>10–19</v>
      </c>
      <c r="B19" s="10">
        <v>10</v>
      </c>
      <c r="C19" s="10">
        <v>19</v>
      </c>
      <c r="D19" s="14">
        <f>COUNTIFS('Quiz 1 Grades'!$L$7:$L$58,"&gt;="&amp;B19,'Quiz 1 Grades'!$L$7:$L$58,"&lt;"&amp;(C19+1))</f>
        <v>1</v>
      </c>
    </row>
    <row r="20" spans="1:4" x14ac:dyDescent="0.3">
      <c r="A20" s="9" t="str">
        <f>B20&amp;"–"&amp;C20</f>
        <v>20–29</v>
      </c>
      <c r="B20" s="10">
        <v>20</v>
      </c>
      <c r="C20" s="10">
        <v>29</v>
      </c>
      <c r="D20" s="14">
        <f>COUNTIFS('Quiz 1 Grades'!$L$7:$L$58,"&gt;="&amp;B20,'Quiz 1 Grades'!$L$7:$L$58,"&lt;"&amp;(C20+1))</f>
        <v>12</v>
      </c>
    </row>
    <row r="21" spans="1:4" x14ac:dyDescent="0.3">
      <c r="A21" s="9" t="str">
        <f>B21&amp;"–"&amp;C21</f>
        <v>30–39</v>
      </c>
      <c r="B21" s="10">
        <v>30</v>
      </c>
      <c r="C21" s="10">
        <v>39</v>
      </c>
      <c r="D21" s="14">
        <f>COUNTIFS('Quiz 1 Grades'!$L$7:$L$58,"&gt;="&amp;B21,'Quiz 1 Grades'!$L$7:$L$58,"&lt;"&amp;(C21+1))</f>
        <v>10</v>
      </c>
    </row>
    <row r="22" spans="1:4" x14ac:dyDescent="0.3">
      <c r="A22" s="9" t="str">
        <f>B22&amp;"–"&amp;C22</f>
        <v>40–50</v>
      </c>
      <c r="B22" s="10">
        <v>40</v>
      </c>
      <c r="C22" s="10">
        <v>50</v>
      </c>
      <c r="D22" s="14">
        <f>COUNTIFS('Quiz 1 Grades'!$L$7:$L$58,"&gt;="&amp;B22,'Quiz 1 Grades'!$L$7:$L$58,"&lt;"&amp;(C22+1))</f>
        <v>27</v>
      </c>
    </row>
    <row r="23" spans="1:4" x14ac:dyDescent="0.3">
      <c r="A23" s="1" t="s">
        <v>249</v>
      </c>
      <c r="D23" s="14">
        <f>SUM(D18:D22)</f>
        <v>50</v>
      </c>
    </row>
    <row r="24" spans="1:4" x14ac:dyDescent="0.3">
      <c r="A24" s="36" t="s">
        <v>250</v>
      </c>
      <c r="D24" s="9" t="str">
        <f>IF(D23=B6,"✔ OK","Check bins")</f>
        <v>✔ OK</v>
      </c>
    </row>
  </sheetData>
  <mergeCells count="5">
    <mergeCell ref="A2:H2"/>
    <mergeCell ref="E4:H4"/>
    <mergeCell ref="A1:H1"/>
    <mergeCell ref="A4:C4"/>
    <mergeCell ref="A16:C16"/>
  </mergeCells>
  <printOptions horizontalCentered="1"/>
  <pageMargins left="0.75" right="0.75" top="1" bottom="1" header="0.5" footer="0.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9"/>
    <pageSetUpPr fitToPage="1"/>
  </sheetPr>
  <dimension ref="A1:AP121"/>
  <sheetViews>
    <sheetView showGridLines="0" zoomScale="73" zoomScaleNormal="73" workbookViewId="0">
      <pane ySplit="3" topLeftCell="A56" activePane="bottomLeft" state="frozen"/>
      <selection pane="bottomLeft" sqref="A1:N1"/>
    </sheetView>
  </sheetViews>
  <sheetFormatPr defaultRowHeight="14.4" x14ac:dyDescent="0.3"/>
  <cols>
    <col min="1" max="1" width="34" customWidth="1"/>
    <col min="2" max="2" width="20" customWidth="1"/>
    <col min="3" max="3" width="13" customWidth="1"/>
    <col min="4" max="4" width="12" customWidth="1"/>
    <col min="5" max="7" width="13" customWidth="1"/>
    <col min="8" max="8" width="16" customWidth="1"/>
    <col min="9" max="9" width="3" customWidth="1"/>
    <col min="10" max="10" width="30" customWidth="1"/>
    <col min="11" max="11" width="13" customWidth="1"/>
    <col min="12" max="12" width="12" customWidth="1"/>
    <col min="13" max="13" width="20" customWidth="1"/>
    <col min="14" max="14" width="40" customWidth="1"/>
    <col min="15" max="15" width="3" customWidth="1"/>
    <col min="16" max="16" width="5" customWidth="1"/>
    <col min="17" max="19" width="9" customWidth="1"/>
    <col min="20" max="20" width="10" customWidth="1"/>
    <col min="21" max="23" width="9" customWidth="1"/>
    <col min="24" max="24" width="3" customWidth="1"/>
    <col min="25" max="25" width="30" customWidth="1"/>
    <col min="26" max="26" width="12" customWidth="1"/>
    <col min="27" max="27" width="3" customWidth="1"/>
    <col min="28" max="42" width="7" customWidth="1"/>
  </cols>
  <sheetData>
    <row r="1" spans="1:42" ht="30" customHeight="1" x14ac:dyDescent="0.3">
      <c r="A1" s="67" t="s">
        <v>251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42" ht="28.05" customHeight="1" x14ac:dyDescent="0.3">
      <c r="A2" s="61" t="s">
        <v>252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4" spans="1:42" ht="22.05" customHeight="1" x14ac:dyDescent="0.3">
      <c r="A4" s="69" t="s">
        <v>253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</row>
    <row r="5" spans="1:42" ht="31.95" customHeight="1" x14ac:dyDescent="0.3">
      <c r="A5" s="75" t="str">
        <f>"Center: mean "&amp;TEXT(MeanScore,"0.0")&amp;" / "&amp;MaxScore&amp;" ("&amp;TEXT(MeanScore/MaxScore,"0%")&amp;"), median "&amp;TEXT(MedianScore,"0.0")&amp;" ("&amp;TEXT(MedianScore/MaxScore,"0%")&amp;"). "&amp;TEXT($B$35,"0%")&amp;" confidence interval for the class mean: "&amp;TEXT($B$21,"0.0")&amp;" – "&amp;TEXT($B$22,"0.0")&amp;" points (n = "&amp;nGraded&amp;")."</f>
        <v>Center: mean 38.2 / 50 (76%), median 40.5 (81%). 95% confidence interval for the class mean: 35.6 – 40.7 points (n = 50).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</row>
    <row r="6" spans="1:42" ht="31.95" customHeight="1" x14ac:dyDescent="0.3">
      <c r="A6" s="73" t="str">
        <f>"Spread: standard deviation "&amp;TEXT(SDScore,"0.0")&amp;" points (CV "&amp;TEXT($B$29,"0%")&amp;"). The middle 50% of students scored between "&amp;TEXT($B$24,"0")&amp;" and "&amp;TEXT($B$25,"0")&amp;"; range "&amp;$B$23&amp;" – "&amp;$B$26&amp;"."</f>
        <v>Spread: standard deviation 8.9 points (CV 23%). The middle 50% of students scored between 30 and 45; range 16 – 50.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</row>
    <row r="7" spans="1:42" ht="31.95" customHeight="1" x14ac:dyDescent="0.3">
      <c r="A7" s="75" t="str">
        <f>IF(SkewScore&lt;=-0.5,"Shape: left-skewed (skewness "&amp;TEXT(SkewScore,"0.00")&amp;") — most students scored high, with a tail of low scores, so the median ("&amp;TEXT(MedianScore,"0.0")&amp;") describes the typical student better than the mean.",IF(SkewScore&gt;=0.5,"Shape: right-skewed (skewness "&amp;TEXT(SkewScore,"0.00")&amp;") — most students scored low with a few high scores.","Shape: roughly symmetric (skewness "&amp;TEXT(SkewScore,"0.00")&amp;")."))&amp;IF(KurtScore&lt;=-0.5," The peak is flatter than a bell curve (excess kurtosis "&amp;TEXT(KurtScore,"0.00")&amp;"): scores are spread out rather than piled up near the mean.",IF(KurtScore&gt;=0.5," The peak is sharper than a bell curve (excess kurtosis "&amp;TEXT(KurtScore,"0.00")&amp;").",""))</f>
        <v>Shape: left-skewed (skewness -0.61) — most students scored high, with a tail of low scores, so the median (40.5) describes the typical student better than the mean. The peak is flatter than a bell curve (excess kurtosis -0.58): scores are spread out rather than piled up near the mean.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</row>
    <row r="8" spans="1:42" ht="31.95" customHeight="1" x14ac:dyDescent="0.3">
      <c r="A8" s="73" t="str">
        <f>IF(nGraded&lt;12,"Normality: need at least 12 graded quizzes.",IF(AND($L$19&gt;=Alpha,$L$18&gt;=Alpha),"Normality: consistent with a Gaussian distribution (Shapiro–Wilk p = "&amp;TEXT($L$19,"0.000")&amp;", Anderson–Darling p = "&amp;TEXT($L$18,"0.000")&amp;"), so z-scores and σ-bands are a fair summary of standing.",IF(AND($L$19&lt;Alpha,$L$18&lt;Alpha),"Normality: the scores are NOT Gaussian — a moderate departure, mainly the left skew and the ceiling (Shapiro–Wilk p = "&amp;TEXT($L$19,"0.000")&amp;", Anderson–Darling p = "&amp;TEXT($L$18,"0.000")&amp;"). Use the median and percentiles as the main summary and treat z-scores as approximate; avoid curving grades with a normal curve.","Normality: borderline — Shapiro–Wilk p = "&amp;TEXT($L$19,"0.000")&amp;", Anderson–Darling p = "&amp;TEXT($L$18,"0.000")&amp;". The Gaussian curve is a rough approximation only.")))</f>
        <v>Normality: the scores are NOT Gaussian — a moderate departure, mainly the left skew and the ceiling (Shapiro–Wilk p = 0.006, Anderson–Darling p = 0.004). Use the median and percentiles as the main summary and treat z-scores as approximate; avoid curving grades with a normal curve.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</row>
    <row r="9" spans="1:42" ht="31.95" customHeight="1" x14ac:dyDescent="0.3">
      <c r="A9" s="75" t="str">
        <f>"Ceiling: a Gaussian curve with this mean and SD would place "&amp;TEXT(G51,"0.0%")&amp;" of students above the maximum of "&amp;MaxScore&amp;" points, and "&amp;COUNTIF(Totals,MaxScore)&amp;" students scored exactly "&amp;MaxScore&amp;"."&amp;IF(G51&gt;=0.05," This ceiling effect means the quiz could not separate the strongest students (and is one reason the distribution is not bell-shaped).","")</f>
        <v>Ceiling: a Gaussian curve with this mean and SD would place 9.1% of students above the maximum of 50 points, and 5 students scored exactly 50. This ceiling effect means the quiz could not separate the strongest students (and is one reason the distribution is not bell-shaped).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</row>
    <row r="10" spans="1:42" ht="31.95" customHeight="1" x14ac:dyDescent="0.3">
      <c r="A10" s="73" t="str">
        <f>"Lower tail: "&amp;COUNTIF(Totals,"&lt;"&amp;(MeanScore-SDScore))&amp;" students scored more than 1σ below the mean (below "&amp;TEXT(MeanScore-SDScore,"0.0")&amp;") and "&amp;COUNTIF(Totals,"&lt;"&amp;(MeanScore-2*SDScore))&amp;" more than 2σ below (below "&amp;TEXT(MeanScore-2*SDScore,"0.0")&amp;"); a Gaussian curve predicts "&amp;TEXT(nGraded*(1-NORMSDIST(1)),"0")&amp;" and "&amp;TEXT(nGraded*(1-NORMSDIST(2)),"0")&amp;". See section 6 for names."</f>
        <v>Lower tail: 13 students scored more than 1σ below the mean (below 29.3) and 1 more than 2σ below (below 20.4); a Gaussian curve predicts 8 and 1. See section 6 for names.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spans="1:42" ht="31.95" customHeight="1" x14ac:dyDescent="0.3">
      <c r="A11" s="75" t="str">
        <f>IFERROR("Questions: reliability (Cronbach's α) = "&amp;TEXT(C64,"0.00")&amp;" ("&amp;LOWER(D64)&amp;"). Hardest question: "&amp;INDEX(A57:A63,MATCH(MIN(D57:D63),D57:D63,0))&amp;" (average "&amp;TEXT(MIN(D57:D63),"0%")&amp;"). Weakest at separating strong from weak students: "&amp;INDEX(A57:A63,MATCH(MIN(F57:F63),F57:F63,0))&amp;" (item–rest r = "&amp;TEXT(MIN(F57:F63),"0.00")&amp;").","Questions: not enough graded quizzes for item analysis.")</f>
        <v>Questions: reliability (Cronbach's α) = 0.63 (moderate). Hardest question: 1.1 (average 63%). Weakest at separating strong from weak students: 2.2 (item–rest r = 0.18).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</row>
    <row r="13" spans="1:42" ht="22.05" customHeight="1" x14ac:dyDescent="0.3">
      <c r="A13" s="69" t="s">
        <v>254</v>
      </c>
      <c r="B13" s="62"/>
      <c r="C13" s="62"/>
      <c r="J13" s="69" t="s">
        <v>255</v>
      </c>
      <c r="K13" s="62"/>
      <c r="L13" s="62"/>
      <c r="M13" s="62"/>
      <c r="N13" s="62"/>
      <c r="P13" s="72" t="s">
        <v>256</v>
      </c>
      <c r="Q13" s="62"/>
      <c r="R13" s="62"/>
      <c r="S13" s="62"/>
      <c r="T13" s="62"/>
      <c r="U13" s="62"/>
      <c r="V13" s="62"/>
      <c r="W13" s="62"/>
      <c r="Y13" s="37" t="s">
        <v>257</v>
      </c>
      <c r="AB13" s="37" t="s">
        <v>258</v>
      </c>
    </row>
    <row r="14" spans="1:42" ht="30" customHeight="1" x14ac:dyDescent="0.3">
      <c r="A14" s="8" t="s">
        <v>259</v>
      </c>
      <c r="B14" s="8" t="s">
        <v>260</v>
      </c>
      <c r="C14" s="8" t="s">
        <v>261</v>
      </c>
      <c r="J14" s="8" t="s">
        <v>262</v>
      </c>
      <c r="K14" s="8" t="s">
        <v>259</v>
      </c>
      <c r="L14" s="8" t="s">
        <v>263</v>
      </c>
      <c r="M14" s="8" t="s">
        <v>264</v>
      </c>
      <c r="N14" s="8" t="s">
        <v>265</v>
      </c>
      <c r="P14" s="15" t="s">
        <v>266</v>
      </c>
      <c r="Q14" s="15" t="s">
        <v>267</v>
      </c>
      <c r="R14" s="15" t="s">
        <v>268</v>
      </c>
      <c r="S14" s="15" t="s">
        <v>269</v>
      </c>
      <c r="T14" s="15" t="s">
        <v>270</v>
      </c>
      <c r="U14" s="15" t="s">
        <v>271</v>
      </c>
      <c r="V14" s="15" t="s">
        <v>272</v>
      </c>
      <c r="W14" s="15" t="s">
        <v>273</v>
      </c>
      <c r="AB14" s="15" t="s">
        <v>249</v>
      </c>
      <c r="AC14" s="15" t="s">
        <v>11</v>
      </c>
      <c r="AD14" s="15" t="s">
        <v>12</v>
      </c>
      <c r="AE14" s="15" t="s">
        <v>13</v>
      </c>
      <c r="AF14" s="15" t="s">
        <v>14</v>
      </c>
      <c r="AG14" s="15" t="s">
        <v>16</v>
      </c>
      <c r="AH14" s="15" t="s">
        <v>17</v>
      </c>
      <c r="AI14" s="15" t="s">
        <v>18</v>
      </c>
      <c r="AJ14" s="15" t="s">
        <v>274</v>
      </c>
      <c r="AK14" s="15" t="s">
        <v>275</v>
      </c>
      <c r="AL14" s="15" t="s">
        <v>276</v>
      </c>
      <c r="AM14" s="15" t="s">
        <v>277</v>
      </c>
      <c r="AN14" s="15" t="s">
        <v>278</v>
      </c>
      <c r="AO14" s="15" t="s">
        <v>279</v>
      </c>
      <c r="AP14" s="15" t="s">
        <v>280</v>
      </c>
    </row>
    <row r="15" spans="1:42" ht="26.4" x14ac:dyDescent="0.3">
      <c r="A15" s="4" t="s">
        <v>281</v>
      </c>
      <c r="B15" s="14">
        <f>COUNT(Totals)</f>
        <v>50</v>
      </c>
      <c r="C15" s="38" t="s">
        <v>282</v>
      </c>
      <c r="J15" s="4" t="s">
        <v>283</v>
      </c>
      <c r="K15" s="39">
        <f>IFERROR(SkewScore/$Z$33,"")</f>
        <v>-1.8260536224896216</v>
      </c>
      <c r="L15" s="39">
        <f>IFERROR(2*(1-NORMSDIST(ABS(K15))),"")</f>
        <v>6.7842185086583129E-2</v>
      </c>
      <c r="M15" s="9" t="str">
        <f>IF(ISNUMBER(L15),IF(L15&lt;Alpha,"Not normal (p &lt; α)","Consistent with normal"),"")</f>
        <v>Consistent with normal</v>
      </c>
      <c r="N15" s="38" t="s">
        <v>284</v>
      </c>
      <c r="P15" s="40">
        <v>1</v>
      </c>
      <c r="Q15" s="40">
        <f t="shared" ref="Q15:Q46" si="0">IF(P15&lt;=nGraded,SMALL(Totals,P15),NA())</f>
        <v>16</v>
      </c>
      <c r="R15" s="41">
        <f t="shared" ref="R15:R46" si="1">IF(P15&lt;=nGraded,(P15-0.375)/(nGraded+0.25),"")</f>
        <v>1.2437810945273632E-2</v>
      </c>
      <c r="S15" s="41">
        <f t="shared" ref="S15:S46" si="2">IF(P15&lt;=nGraded,NORMSINV(R15),"")</f>
        <v>-2.2433287630462804</v>
      </c>
      <c r="T15" s="41">
        <f t="shared" ref="T15:T46" si="3">IF(P15&lt;=nGraded,MeanScore+SDScore*S15,NA())</f>
        <v>18.231883791252265</v>
      </c>
      <c r="U15" s="41">
        <f t="shared" ref="U15:U46" si="4">IFERROR(IF(P15&gt;nGraded,"",IF(P15=nGraded,$Z$19,IF(P15=nGraded-1,$Z$20,IF(P15=1,-$Z$19,IF(P15=2,-$Z$20,S15/SQRT($Z$21)))))),"")</f>
        <v>-0.35059925396811126</v>
      </c>
      <c r="V15" s="41">
        <f t="shared" ref="V15:V46" si="5">IFERROR(IF(P15&lt;=nGraded,U15*Q15,""),"")</f>
        <v>-5.6095880634897801</v>
      </c>
      <c r="W15" s="41">
        <f t="shared" ref="W15:W46" si="6">IFERROR(IF(P15&lt;=nGraded,(2*P15-1)*(LN(NORMDIST(Q15,MeanScore,SDScore,TRUE))+LN(1-NORMDIST(LARGE(Totals,P15),MeanScore,SDScore,TRUE))),""),"")</f>
        <v>-7.460038542063721</v>
      </c>
      <c r="Y15" s="42" t="s">
        <v>285</v>
      </c>
      <c r="Z15" s="43">
        <f>IFERROR(SUMSQ(S15:S66),"")</f>
        <v>47.202648551525151</v>
      </c>
      <c r="AB15" s="44">
        <f>IF('Quiz 1 Grades'!$P7="Graded",'Quiz 1 Grades'!$L7,"")</f>
        <v>44</v>
      </c>
      <c r="AC15" s="44">
        <f>IF('Quiz 1 Grades'!$P7="Graded",'Quiz 1 Grades'!C7,"")</f>
        <v>8</v>
      </c>
      <c r="AD15" s="44">
        <f>IF('Quiz 1 Grades'!$P7="Graded",'Quiz 1 Grades'!D7,"")</f>
        <v>13</v>
      </c>
      <c r="AE15" s="44">
        <f>IF('Quiz 1 Grades'!$P7="Graded",'Quiz 1 Grades'!E7,"")</f>
        <v>4</v>
      </c>
      <c r="AF15" s="44">
        <f>IF('Quiz 1 Grades'!$P7="Graded",'Quiz 1 Grades'!F7,"")</f>
        <v>4</v>
      </c>
      <c r="AG15" s="44">
        <f>IF('Quiz 1 Grades'!$P7="Graded",'Quiz 1 Grades'!H7,"")</f>
        <v>5</v>
      </c>
      <c r="AH15" s="44">
        <f>IF('Quiz 1 Grades'!$P7="Graded",'Quiz 1 Grades'!I7,"")</f>
        <v>5</v>
      </c>
      <c r="AI15" s="44">
        <f>IF('Quiz 1 Grades'!$P7="Graded",'Quiz 1 Grades'!J7,"")</f>
        <v>5</v>
      </c>
      <c r="AJ15" s="44">
        <f t="shared" ref="AJ15:AJ46" si="7">IF(ISNUMBER(AB15),AB15-AC15,"")</f>
        <v>36</v>
      </c>
      <c r="AK15" s="44">
        <f t="shared" ref="AK15:AK46" si="8">IF(ISNUMBER(AB15),AB15-AD15,"")</f>
        <v>31</v>
      </c>
      <c r="AL15" s="44">
        <f t="shared" ref="AL15:AL46" si="9">IF(ISNUMBER(AB15),AB15-AE15,"")</f>
        <v>40</v>
      </c>
      <c r="AM15" s="44">
        <f t="shared" ref="AM15:AM46" si="10">IF(ISNUMBER(AB15),AB15-AF15,"")</f>
        <v>40</v>
      </c>
      <c r="AN15" s="44">
        <f t="shared" ref="AN15:AN46" si="11">IF(ISNUMBER(AB15),AB15-AG15,"")</f>
        <v>39</v>
      </c>
      <c r="AO15" s="44">
        <f t="shared" ref="AO15:AO46" si="12">IF(ISNUMBER(AB15),AB15-AH15,"")</f>
        <v>39</v>
      </c>
      <c r="AP15" s="44">
        <f t="shared" ref="AP15:AP46" si="13">IF(ISNUMBER(AB15),AB15-AI15,"")</f>
        <v>39</v>
      </c>
    </row>
    <row r="16" spans="1:42" ht="26.4" x14ac:dyDescent="0.3">
      <c r="A16" s="4" t="s">
        <v>286</v>
      </c>
      <c r="B16" s="45">
        <f>IFERROR(AVERAGE(Totals),"")</f>
        <v>38.159999999999997</v>
      </c>
      <c r="C16" s="38"/>
      <c r="J16" s="4" t="s">
        <v>287</v>
      </c>
      <c r="K16" s="39">
        <f>IFERROR(KurtScore/$Z$34,"")</f>
        <v>-0.88340014750490015</v>
      </c>
      <c r="L16" s="39">
        <f>IFERROR(2*(1-NORMSDIST(ABS(K16))),"")</f>
        <v>0.37702011111654965</v>
      </c>
      <c r="M16" s="9" t="str">
        <f>IF(ISNUMBER(L16),IF(L16&lt;Alpha,"Not normal (p &lt; α)","Consistent with normal"),"")</f>
        <v>Consistent with normal</v>
      </c>
      <c r="N16" s="38" t="s">
        <v>288</v>
      </c>
      <c r="P16" s="40">
        <v>2</v>
      </c>
      <c r="Q16" s="40">
        <f t="shared" si="0"/>
        <v>21</v>
      </c>
      <c r="R16" s="41">
        <f t="shared" si="1"/>
        <v>3.2338308457711441E-2</v>
      </c>
      <c r="S16" s="41">
        <f t="shared" si="2"/>
        <v>-1.8474868176556127</v>
      </c>
      <c r="T16" s="41">
        <f t="shared" si="3"/>
        <v>21.748258394023434</v>
      </c>
      <c r="U16" s="41">
        <f t="shared" si="4"/>
        <v>-0.26622143041346247</v>
      </c>
      <c r="V16" s="41">
        <f t="shared" si="5"/>
        <v>-5.5906500386827123</v>
      </c>
      <c r="W16" s="41">
        <f t="shared" si="6"/>
        <v>-18.05067855048874</v>
      </c>
      <c r="Y16" s="42" t="s">
        <v>289</v>
      </c>
      <c r="Z16" s="43">
        <f>IFERROR(1/SQRT(nGraded),"")</f>
        <v>0.1414213562373095</v>
      </c>
      <c r="AB16" s="44">
        <f>IF('Quiz 1 Grades'!$P8="Graded",'Quiz 1 Grades'!$L8,"")</f>
        <v>21</v>
      </c>
      <c r="AC16" s="44">
        <f>IF('Quiz 1 Grades'!$P8="Graded",'Quiz 1 Grades'!C8,"")</f>
        <v>0</v>
      </c>
      <c r="AD16" s="44">
        <f>IF('Quiz 1 Grades'!$P8="Graded",'Quiz 1 Grades'!D8,"")</f>
        <v>5</v>
      </c>
      <c r="AE16" s="44">
        <f>IF('Quiz 1 Grades'!$P8="Graded",'Quiz 1 Grades'!E8,"")</f>
        <v>3</v>
      </c>
      <c r="AF16" s="44">
        <f>IF('Quiz 1 Grades'!$P8="Graded",'Quiz 1 Grades'!F8,"")</f>
        <v>3</v>
      </c>
      <c r="AG16" s="44">
        <f>IF('Quiz 1 Grades'!$P8="Graded",'Quiz 1 Grades'!H8,"")</f>
        <v>5</v>
      </c>
      <c r="AH16" s="44">
        <f>IF('Quiz 1 Grades'!$P8="Graded",'Quiz 1 Grades'!I8,"")</f>
        <v>5</v>
      </c>
      <c r="AI16" s="44">
        <f>IF('Quiz 1 Grades'!$P8="Graded",'Quiz 1 Grades'!J8,"")</f>
        <v>0</v>
      </c>
      <c r="AJ16" s="44">
        <f t="shared" si="7"/>
        <v>21</v>
      </c>
      <c r="AK16" s="44">
        <f t="shared" si="8"/>
        <v>16</v>
      </c>
      <c r="AL16" s="44">
        <f t="shared" si="9"/>
        <v>18</v>
      </c>
      <c r="AM16" s="44">
        <f t="shared" si="10"/>
        <v>18</v>
      </c>
      <c r="AN16" s="44">
        <f t="shared" si="11"/>
        <v>16</v>
      </c>
      <c r="AO16" s="44">
        <f t="shared" si="12"/>
        <v>16</v>
      </c>
      <c r="AP16" s="44">
        <f t="shared" si="13"/>
        <v>21</v>
      </c>
    </row>
    <row r="17" spans="1:42" ht="26.4" x14ac:dyDescent="0.3">
      <c r="A17" s="4" t="s">
        <v>290</v>
      </c>
      <c r="B17" s="34">
        <f>IFERROR(MEDIAN(Totals),"")</f>
        <v>40.5</v>
      </c>
      <c r="C17" s="38" t="s">
        <v>291</v>
      </c>
      <c r="J17" s="4" t="s">
        <v>292</v>
      </c>
      <c r="K17" s="39">
        <f>IFERROR(nGraded/6*(SkewScore^2+KurtScore^2/4),"")</f>
        <v>3.8606088518210995</v>
      </c>
      <c r="L17" s="39">
        <f>IFERROR(CHIDIST(K17,2),"")</f>
        <v>0.14510401833626768</v>
      </c>
      <c r="M17" s="9" t="str">
        <f>IF(ISNUMBER(L17),IF(L17&lt;Alpha,"Not normal (p &lt; α)","Consistent with normal"),"")</f>
        <v>Consistent with normal</v>
      </c>
      <c r="N17" s="38" t="s">
        <v>293</v>
      </c>
      <c r="P17" s="40">
        <v>3</v>
      </c>
      <c r="Q17" s="40">
        <f t="shared" si="0"/>
        <v>23</v>
      </c>
      <c r="R17" s="41">
        <f t="shared" si="1"/>
        <v>5.2238805970149252E-2</v>
      </c>
      <c r="S17" s="41">
        <f t="shared" si="2"/>
        <v>-1.6235231816505278</v>
      </c>
      <c r="T17" s="41">
        <f t="shared" si="3"/>
        <v>23.73778995014824</v>
      </c>
      <c r="U17" s="41">
        <f t="shared" si="4"/>
        <v>-0.2307698672906012</v>
      </c>
      <c r="V17" s="41">
        <f t="shared" si="5"/>
        <v>-5.3077069476838279</v>
      </c>
      <c r="W17" s="41">
        <f t="shared" si="6"/>
        <v>-27.591934819822271</v>
      </c>
      <c r="Y17" s="42" t="s">
        <v>294</v>
      </c>
      <c r="Z17" s="43">
        <f>IFERROR(INDEX(S15:S66,nGraded)/SQRT(Z15),"")</f>
        <v>0.32651996470706929</v>
      </c>
      <c r="AB17" s="44">
        <f>IF('Quiz 1 Grades'!$P9="Graded",'Quiz 1 Grades'!$L9,"")</f>
        <v>43</v>
      </c>
      <c r="AC17" s="44">
        <f>IF('Quiz 1 Grades'!$P9="Graded",'Quiz 1 Grades'!C9,"")</f>
        <v>8</v>
      </c>
      <c r="AD17" s="44">
        <f>IF('Quiz 1 Grades'!$P9="Graded",'Quiz 1 Grades'!D9,"")</f>
        <v>10</v>
      </c>
      <c r="AE17" s="44">
        <f>IF('Quiz 1 Grades'!$P9="Graded",'Quiz 1 Grades'!E9,"")</f>
        <v>5</v>
      </c>
      <c r="AF17" s="44">
        <f>IF('Quiz 1 Grades'!$P9="Graded",'Quiz 1 Grades'!F9,"")</f>
        <v>5</v>
      </c>
      <c r="AG17" s="44">
        <f>IF('Quiz 1 Grades'!$P9="Graded",'Quiz 1 Grades'!H9,"")</f>
        <v>5</v>
      </c>
      <c r="AH17" s="44">
        <f>IF('Quiz 1 Grades'!$P9="Graded",'Quiz 1 Grades'!I9,"")</f>
        <v>5</v>
      </c>
      <c r="AI17" s="44">
        <f>IF('Quiz 1 Grades'!$P9="Graded",'Quiz 1 Grades'!J9,"")</f>
        <v>5</v>
      </c>
      <c r="AJ17" s="44">
        <f t="shared" si="7"/>
        <v>35</v>
      </c>
      <c r="AK17" s="44">
        <f t="shared" si="8"/>
        <v>33</v>
      </c>
      <c r="AL17" s="44">
        <f t="shared" si="9"/>
        <v>38</v>
      </c>
      <c r="AM17" s="44">
        <f t="shared" si="10"/>
        <v>38</v>
      </c>
      <c r="AN17" s="44">
        <f t="shared" si="11"/>
        <v>38</v>
      </c>
      <c r="AO17" s="44">
        <f t="shared" si="12"/>
        <v>38</v>
      </c>
      <c r="AP17" s="44">
        <f t="shared" si="13"/>
        <v>38</v>
      </c>
    </row>
    <row r="18" spans="1:42" ht="20.399999999999999" x14ac:dyDescent="0.3">
      <c r="A18" s="4" t="s">
        <v>295</v>
      </c>
      <c r="B18" s="45">
        <f>IFERROR(STDEV(Totals),"")</f>
        <v>8.883279409161041</v>
      </c>
      <c r="C18" s="38" t="s">
        <v>296</v>
      </c>
      <c r="J18" s="4" t="s">
        <v>297</v>
      </c>
      <c r="K18" s="39">
        <f>IFERROR($Z$31,"")</f>
        <v>1.2147315042938744</v>
      </c>
      <c r="L18" s="39">
        <f>IFERROR(MIN(1,MAX(0,$Z$32)),"")</f>
        <v>3.6473423235353717E-3</v>
      </c>
      <c r="M18" s="9" t="str">
        <f>IF(ISNUMBER(L18),IF(L18&lt;Alpha,"Not normal (p &lt; α)","Consistent with normal"),"")</f>
        <v>Not normal (p &lt; α)</v>
      </c>
      <c r="N18" s="38" t="s">
        <v>298</v>
      </c>
      <c r="P18" s="40">
        <v>4</v>
      </c>
      <c r="Q18" s="40">
        <f t="shared" si="0"/>
        <v>23</v>
      </c>
      <c r="R18" s="41">
        <f t="shared" si="1"/>
        <v>7.2139303482587069E-2</v>
      </c>
      <c r="S18" s="41">
        <f t="shared" si="2"/>
        <v>-1.460041724656844</v>
      </c>
      <c r="T18" s="41">
        <f t="shared" si="3"/>
        <v>25.190041410839882</v>
      </c>
      <c r="U18" s="41">
        <f t="shared" si="4"/>
        <v>-0.20753238318116432</v>
      </c>
      <c r="V18" s="41">
        <f t="shared" si="5"/>
        <v>-4.7732448131667793</v>
      </c>
      <c r="W18" s="41">
        <f t="shared" si="6"/>
        <v>-38.628708747751183</v>
      </c>
      <c r="Y18" s="42" t="s">
        <v>299</v>
      </c>
      <c r="Z18" s="43">
        <f>IFERROR(INDEX(S15:S66,nGraded-1)/SQRT(Z15),"")</f>
        <v>0.26890455845559069</v>
      </c>
      <c r="AB18" s="44">
        <f>IF('Quiz 1 Grades'!$P10="Graded",'Quiz 1 Grades'!$L10,"")</f>
        <v>43</v>
      </c>
      <c r="AC18" s="44">
        <f>IF('Quiz 1 Grades'!$P10="Graded",'Quiz 1 Grades'!C10,"")</f>
        <v>5</v>
      </c>
      <c r="AD18" s="44">
        <f>IF('Quiz 1 Grades'!$P10="Graded",'Quiz 1 Grades'!D10,"")</f>
        <v>15</v>
      </c>
      <c r="AE18" s="44">
        <f>IF('Quiz 1 Grades'!$P10="Graded",'Quiz 1 Grades'!E10,"")</f>
        <v>4</v>
      </c>
      <c r="AF18" s="44">
        <f>IF('Quiz 1 Grades'!$P10="Graded",'Quiz 1 Grades'!F10,"")</f>
        <v>4</v>
      </c>
      <c r="AG18" s="44">
        <f>IF('Quiz 1 Grades'!$P10="Graded",'Quiz 1 Grades'!H10,"")</f>
        <v>5</v>
      </c>
      <c r="AH18" s="44">
        <f>IF('Quiz 1 Grades'!$P10="Graded",'Quiz 1 Grades'!I10,"")</f>
        <v>5</v>
      </c>
      <c r="AI18" s="44">
        <f>IF('Quiz 1 Grades'!$P10="Graded",'Quiz 1 Grades'!J10,"")</f>
        <v>5</v>
      </c>
      <c r="AJ18" s="44">
        <f t="shared" si="7"/>
        <v>38</v>
      </c>
      <c r="AK18" s="44">
        <f t="shared" si="8"/>
        <v>28</v>
      </c>
      <c r="AL18" s="44">
        <f t="shared" si="9"/>
        <v>39</v>
      </c>
      <c r="AM18" s="44">
        <f t="shared" si="10"/>
        <v>39</v>
      </c>
      <c r="AN18" s="44">
        <f t="shared" si="11"/>
        <v>38</v>
      </c>
      <c r="AO18" s="44">
        <f t="shared" si="12"/>
        <v>38</v>
      </c>
      <c r="AP18" s="44">
        <f t="shared" si="13"/>
        <v>38</v>
      </c>
    </row>
    <row r="19" spans="1:42" ht="20.399999999999999" x14ac:dyDescent="0.3">
      <c r="A19" s="4" t="s">
        <v>300</v>
      </c>
      <c r="B19" s="45">
        <f>IFERROR(VAR(Totals),"")</f>
        <v>78.912653061224518</v>
      </c>
      <c r="C19" s="38"/>
      <c r="J19" s="46" t="s">
        <v>301</v>
      </c>
      <c r="K19" s="39">
        <f>IF(nGraded&lt;12,"n &lt; 12",IFERROR($Z$24,""))</f>
        <v>0.93140230092345166</v>
      </c>
      <c r="L19" s="39">
        <f>IF(nGraded&lt;12,"",IFERROR($Z$29,""))</f>
        <v>6.2465692283288909E-3</v>
      </c>
      <c r="M19" s="9" t="str">
        <f>IF(ISNUMBER(L19),IF(L19&lt;Alpha,"Not normal (p &lt; α)","Consistent with normal"),"")</f>
        <v>Not normal (p &lt; α)</v>
      </c>
      <c r="N19" s="38" t="s">
        <v>302</v>
      </c>
      <c r="P19" s="40">
        <v>5</v>
      </c>
      <c r="Q19" s="40">
        <f t="shared" si="0"/>
        <v>26</v>
      </c>
      <c r="R19" s="41">
        <f t="shared" si="1"/>
        <v>9.2039800995024873E-2</v>
      </c>
      <c r="S19" s="41">
        <f t="shared" si="2"/>
        <v>-1.3282982368394793</v>
      </c>
      <c r="T19" s="41">
        <f t="shared" si="3"/>
        <v>26.360355623458936</v>
      </c>
      <c r="U19" s="41">
        <f t="shared" si="4"/>
        <v>-0.1888061786257689</v>
      </c>
      <c r="V19" s="41">
        <f t="shared" si="5"/>
        <v>-4.9089606442699916</v>
      </c>
      <c r="W19" s="41">
        <f t="shared" si="6"/>
        <v>-43.674179791871275</v>
      </c>
      <c r="Y19" s="42" t="s">
        <v>303</v>
      </c>
      <c r="Z19" s="43">
        <f>IFERROR(Z17+0.221157*Z16-0.147981*Z16^2-2.07119*Z16^3+4.434685*Z16^4-2.706056*Z16^5,"")</f>
        <v>0.35059925396811126</v>
      </c>
      <c r="AB19" s="44">
        <f>IF('Quiz 1 Grades'!$P11="Graded",'Quiz 1 Grades'!$L11,"")</f>
        <v>50</v>
      </c>
      <c r="AC19" s="44">
        <f>IF('Quiz 1 Grades'!$P11="Graded",'Quiz 1 Grades'!C11,"")</f>
        <v>10</v>
      </c>
      <c r="AD19" s="44">
        <f>IF('Quiz 1 Grades'!$P11="Graded",'Quiz 1 Grades'!D11,"")</f>
        <v>15</v>
      </c>
      <c r="AE19" s="44">
        <f>IF('Quiz 1 Grades'!$P11="Graded",'Quiz 1 Grades'!E11,"")</f>
        <v>5</v>
      </c>
      <c r="AF19" s="44">
        <f>IF('Quiz 1 Grades'!$P11="Graded",'Quiz 1 Grades'!F11,"")</f>
        <v>5</v>
      </c>
      <c r="AG19" s="44">
        <f>IF('Quiz 1 Grades'!$P11="Graded",'Quiz 1 Grades'!H11,"")</f>
        <v>5</v>
      </c>
      <c r="AH19" s="44">
        <f>IF('Quiz 1 Grades'!$P11="Graded",'Quiz 1 Grades'!I11,"")</f>
        <v>5</v>
      </c>
      <c r="AI19" s="44">
        <f>IF('Quiz 1 Grades'!$P11="Graded",'Quiz 1 Grades'!J11,"")</f>
        <v>5</v>
      </c>
      <c r="AJ19" s="44">
        <f t="shared" si="7"/>
        <v>40</v>
      </c>
      <c r="AK19" s="44">
        <f t="shared" si="8"/>
        <v>35</v>
      </c>
      <c r="AL19" s="44">
        <f t="shared" si="9"/>
        <v>45</v>
      </c>
      <c r="AM19" s="44">
        <f t="shared" si="10"/>
        <v>45</v>
      </c>
      <c r="AN19" s="44">
        <f t="shared" si="11"/>
        <v>45</v>
      </c>
      <c r="AO19" s="44">
        <f t="shared" si="12"/>
        <v>45</v>
      </c>
      <c r="AP19" s="44">
        <f t="shared" si="13"/>
        <v>45</v>
      </c>
    </row>
    <row r="20" spans="1:42" x14ac:dyDescent="0.3">
      <c r="A20" s="4" t="s">
        <v>304</v>
      </c>
      <c r="B20" s="45">
        <f>IFERROR(B18/SQRT(B15),"")</f>
        <v>1.2562854218785198</v>
      </c>
      <c r="C20" s="38" t="s">
        <v>305</v>
      </c>
      <c r="J20" s="76" t="str">
        <f>IF(nGraded&lt;12,"Need at least 12 graded quizzes for the normality tests.",IF(COUNTIF(M18:M19,"Not normal*")=2,"Overall: NOT Gaussian — Shapiro–Wilk and Anderson–Darling (the most powerful tests at this sample size) both reject normality."&amp;IF(COUNTIF(M15:M17,"Not normal*")=0," The skewness / kurtosis tests alone do not reject, so the departure is moderate (left skew + ceiling at "&amp;MaxScore&amp;"), not extreme.",""),IF(COUNTIF(M18:M19,"Not normal*")=0,"Overall: consistent with a Gaussian distribution — neither Shapiro–Wilk nor Anderson–Darling rejects normality."&amp;IF(COUNTIF(M15:M17,"Not normal*")&gt;0," (Some moment tests flag skewness/kurtosis; treat as a mild departure.)",""),"Overall: borderline — Shapiro–Wilk and Anderson–Darling disagree; treat the Gaussian curve as a rough approximation.")))</f>
        <v>Overall: NOT Gaussian — Shapiro–Wilk and Anderson–Darling (the most powerful tests at this sample size) both reject normality. The skewness / kurtosis tests alone do not reject, so the departure is moderate (left skew + ceiling at 50), not extreme.</v>
      </c>
      <c r="K20" s="62"/>
      <c r="L20" s="62"/>
      <c r="M20" s="62"/>
      <c r="N20" s="62"/>
      <c r="P20" s="40">
        <v>6</v>
      </c>
      <c r="Q20" s="40">
        <f t="shared" si="0"/>
        <v>26</v>
      </c>
      <c r="R20" s="41">
        <f t="shared" si="1"/>
        <v>0.11194029850746269</v>
      </c>
      <c r="S20" s="41">
        <f t="shared" si="2"/>
        <v>-1.2162739092587758</v>
      </c>
      <c r="T20" s="41">
        <f t="shared" si="3"/>
        <v>27.355499025981707</v>
      </c>
      <c r="U20" s="41">
        <f t="shared" si="4"/>
        <v>-0.17288288322641651</v>
      </c>
      <c r="V20" s="41">
        <f t="shared" si="5"/>
        <v>-4.4949549638868289</v>
      </c>
      <c r="W20" s="41">
        <f t="shared" si="6"/>
        <v>-49.158342949803448</v>
      </c>
      <c r="Y20" s="42" t="s">
        <v>306</v>
      </c>
      <c r="Z20" s="43">
        <f>IFERROR(Z18+0.042981*Z16-0.293762*Z16^2-1.752461*Z16^3+5.682633*Z16^4-3.582633*Z16^5,"")</f>
        <v>0.26622143041346247</v>
      </c>
      <c r="AB20" s="44">
        <f>IF('Quiz 1 Grades'!$P12="Graded",'Quiz 1 Grades'!$L12,"")</f>
        <v>32</v>
      </c>
      <c r="AC20" s="44">
        <f>IF('Quiz 1 Grades'!$P12="Graded",'Quiz 1 Grades'!C12,"")</f>
        <v>8</v>
      </c>
      <c r="AD20" s="44">
        <f>IF('Quiz 1 Grades'!$P12="Graded",'Quiz 1 Grades'!D12,"")</f>
        <v>10</v>
      </c>
      <c r="AE20" s="44">
        <f>IF('Quiz 1 Grades'!$P12="Graded",'Quiz 1 Grades'!E12,"")</f>
        <v>5</v>
      </c>
      <c r="AF20" s="44">
        <f>IF('Quiz 1 Grades'!$P12="Graded",'Quiz 1 Grades'!F12,"")</f>
        <v>4</v>
      </c>
      <c r="AG20" s="44">
        <f>IF('Quiz 1 Grades'!$P12="Graded",'Quiz 1 Grades'!H12,"")</f>
        <v>0</v>
      </c>
      <c r="AH20" s="44">
        <f>IF('Quiz 1 Grades'!$P12="Graded",'Quiz 1 Grades'!I12,"")</f>
        <v>0</v>
      </c>
      <c r="AI20" s="44">
        <f>IF('Quiz 1 Grades'!$P12="Graded",'Quiz 1 Grades'!J12,"")</f>
        <v>5</v>
      </c>
      <c r="AJ20" s="44">
        <f t="shared" si="7"/>
        <v>24</v>
      </c>
      <c r="AK20" s="44">
        <f t="shared" si="8"/>
        <v>22</v>
      </c>
      <c r="AL20" s="44">
        <f t="shared" si="9"/>
        <v>27</v>
      </c>
      <c r="AM20" s="44">
        <f t="shared" si="10"/>
        <v>28</v>
      </c>
      <c r="AN20" s="44">
        <f t="shared" si="11"/>
        <v>32</v>
      </c>
      <c r="AO20" s="44">
        <f t="shared" si="12"/>
        <v>32</v>
      </c>
      <c r="AP20" s="44">
        <f t="shared" si="13"/>
        <v>27</v>
      </c>
    </row>
    <row r="21" spans="1:42" x14ac:dyDescent="0.3">
      <c r="A21" s="4" t="str">
        <f>TEXT($B$35,"0%")&amp;" CI for the mean — lower"</f>
        <v>95% CI for the mean — lower</v>
      </c>
      <c r="B21" s="45">
        <f>IFERROR(B16-TINV(1-$B$35,B15-1)*B20,"")</f>
        <v>35.635399925426462</v>
      </c>
      <c r="C21" s="38" t="s">
        <v>307</v>
      </c>
      <c r="J21" s="62"/>
      <c r="K21" s="62"/>
      <c r="L21" s="62"/>
      <c r="M21" s="62"/>
      <c r="N21" s="62"/>
      <c r="P21" s="40">
        <v>7</v>
      </c>
      <c r="Q21" s="40">
        <f t="shared" si="0"/>
        <v>26</v>
      </c>
      <c r="R21" s="41">
        <f t="shared" si="1"/>
        <v>0.13184079601990051</v>
      </c>
      <c r="S21" s="41">
        <f t="shared" si="2"/>
        <v>-1.1177317177440835</v>
      </c>
      <c r="T21" s="41">
        <f t="shared" si="3"/>
        <v>28.230876846797777</v>
      </c>
      <c r="U21" s="41">
        <f t="shared" si="4"/>
        <v>-0.15887595759985926</v>
      </c>
      <c r="V21" s="41">
        <f t="shared" si="5"/>
        <v>-4.130774897596341</v>
      </c>
      <c r="W21" s="41">
        <f t="shared" si="6"/>
        <v>-58.096223486131343</v>
      </c>
      <c r="Y21" s="42" t="s">
        <v>308</v>
      </c>
      <c r="Z21" s="43">
        <f>IFERROR((Z15-2*INDEX(S15:S66,nGraded)^2-2*INDEX(S15:S66,nGraded-1)^2)/(1-2*Z19^2-2*Z20^2),"")</f>
        <v>49.494710417721649</v>
      </c>
      <c r="AB21" s="44">
        <f>IF('Quiz 1 Grades'!$P13="Graded",'Quiz 1 Grades'!$L13,"")</f>
        <v>26</v>
      </c>
      <c r="AC21" s="44">
        <f>IF('Quiz 1 Grades'!$P13="Graded",'Quiz 1 Grades'!C13,"")</f>
        <v>5</v>
      </c>
      <c r="AD21" s="44">
        <f>IF('Quiz 1 Grades'!$P13="Graded",'Quiz 1 Grades'!D13,"")</f>
        <v>5</v>
      </c>
      <c r="AE21" s="44">
        <f>IF('Quiz 1 Grades'!$P13="Graded",'Quiz 1 Grades'!E13,"")</f>
        <v>3</v>
      </c>
      <c r="AF21" s="44">
        <f>IF('Quiz 1 Grades'!$P13="Graded",'Quiz 1 Grades'!F13,"")</f>
        <v>3</v>
      </c>
      <c r="AG21" s="44">
        <f>IF('Quiz 1 Grades'!$P13="Graded",'Quiz 1 Grades'!H13,"")</f>
        <v>5</v>
      </c>
      <c r="AH21" s="44">
        <f>IF('Quiz 1 Grades'!$P13="Graded",'Quiz 1 Grades'!I13,"")</f>
        <v>0</v>
      </c>
      <c r="AI21" s="44">
        <f>IF('Quiz 1 Grades'!$P13="Graded",'Quiz 1 Grades'!J13,"")</f>
        <v>5</v>
      </c>
      <c r="AJ21" s="44">
        <f t="shared" si="7"/>
        <v>21</v>
      </c>
      <c r="AK21" s="44">
        <f t="shared" si="8"/>
        <v>21</v>
      </c>
      <c r="AL21" s="44">
        <f t="shared" si="9"/>
        <v>23</v>
      </c>
      <c r="AM21" s="44">
        <f t="shared" si="10"/>
        <v>23</v>
      </c>
      <c r="AN21" s="44">
        <f t="shared" si="11"/>
        <v>21</v>
      </c>
      <c r="AO21" s="44">
        <f t="shared" si="12"/>
        <v>26</v>
      </c>
      <c r="AP21" s="44">
        <f t="shared" si="13"/>
        <v>21</v>
      </c>
    </row>
    <row r="22" spans="1:42" ht="22.05" customHeight="1" x14ac:dyDescent="0.3">
      <c r="A22" s="4" t="str">
        <f>TEXT($B$35,"0%")&amp;" CI for the mean — upper"</f>
        <v>95% CI for the mean — upper</v>
      </c>
      <c r="B22" s="45">
        <f>IFERROR(B16+TINV(1-$B$35,B15-1)*B20,"")</f>
        <v>40.684600074573531</v>
      </c>
      <c r="C22" s="38"/>
      <c r="J22" s="69" t="s">
        <v>309</v>
      </c>
      <c r="K22" s="62"/>
      <c r="L22" s="62"/>
      <c r="M22" s="62"/>
      <c r="N22" s="62"/>
      <c r="P22" s="40">
        <v>8</v>
      </c>
      <c r="Q22" s="40">
        <f t="shared" si="0"/>
        <v>27</v>
      </c>
      <c r="R22" s="41">
        <f t="shared" si="1"/>
        <v>0.15174129353233831</v>
      </c>
      <c r="S22" s="41">
        <f t="shared" si="2"/>
        <v>-1.0289938026760728</v>
      </c>
      <c r="T22" s="41">
        <f t="shared" si="3"/>
        <v>29.019160540533321</v>
      </c>
      <c r="U22" s="41">
        <f t="shared" si="4"/>
        <v>-0.14626262560969278</v>
      </c>
      <c r="V22" s="41">
        <f t="shared" si="5"/>
        <v>-3.9490908914617049</v>
      </c>
      <c r="W22" s="41">
        <f t="shared" si="6"/>
        <v>-58.888761758059687</v>
      </c>
      <c r="Y22" s="42" t="s">
        <v>310</v>
      </c>
      <c r="Z22" s="43">
        <f>IFERROR(SUM(V15:V66),"")</f>
        <v>60.012264621714863</v>
      </c>
      <c r="AB22" s="44">
        <f>IF('Quiz 1 Grades'!$P14="Graded",'Quiz 1 Grades'!$L14,"")</f>
        <v>46</v>
      </c>
      <c r="AC22" s="44">
        <f>IF('Quiz 1 Grades'!$P14="Graded",'Quiz 1 Grades'!C14,"")</f>
        <v>10</v>
      </c>
      <c r="AD22" s="44">
        <f>IF('Quiz 1 Grades'!$P14="Graded",'Quiz 1 Grades'!D14,"")</f>
        <v>15</v>
      </c>
      <c r="AE22" s="44">
        <f>IF('Quiz 1 Grades'!$P14="Graded",'Quiz 1 Grades'!E14,"")</f>
        <v>3</v>
      </c>
      <c r="AF22" s="44">
        <f>IF('Quiz 1 Grades'!$P14="Graded",'Quiz 1 Grades'!F14,"")</f>
        <v>3</v>
      </c>
      <c r="AG22" s="44">
        <f>IF('Quiz 1 Grades'!$P14="Graded",'Quiz 1 Grades'!H14,"")</f>
        <v>5</v>
      </c>
      <c r="AH22" s="44">
        <f>IF('Quiz 1 Grades'!$P14="Graded",'Quiz 1 Grades'!I14,"")</f>
        <v>5</v>
      </c>
      <c r="AI22" s="44">
        <f>IF('Quiz 1 Grades'!$P14="Graded",'Quiz 1 Grades'!J14,"")</f>
        <v>5</v>
      </c>
      <c r="AJ22" s="44">
        <f t="shared" si="7"/>
        <v>36</v>
      </c>
      <c r="AK22" s="44">
        <f t="shared" si="8"/>
        <v>31</v>
      </c>
      <c r="AL22" s="44">
        <f t="shared" si="9"/>
        <v>43</v>
      </c>
      <c r="AM22" s="44">
        <f t="shared" si="10"/>
        <v>43</v>
      </c>
      <c r="AN22" s="44">
        <f t="shared" si="11"/>
        <v>41</v>
      </c>
      <c r="AO22" s="44">
        <f t="shared" si="12"/>
        <v>41</v>
      </c>
      <c r="AP22" s="44">
        <f t="shared" si="13"/>
        <v>41</v>
      </c>
    </row>
    <row r="23" spans="1:42" ht="30" customHeight="1" x14ac:dyDescent="0.3">
      <c r="A23" s="4" t="s">
        <v>311</v>
      </c>
      <c r="B23" s="14">
        <f>IFERROR(MIN(Totals),"")</f>
        <v>16</v>
      </c>
      <c r="C23" s="38"/>
      <c r="J23" s="8" t="s">
        <v>312</v>
      </c>
      <c r="K23" s="8" t="s">
        <v>246</v>
      </c>
      <c r="L23" s="8" t="s">
        <v>313</v>
      </c>
      <c r="M23" s="8" t="s">
        <v>314</v>
      </c>
      <c r="N23" s="8" t="s">
        <v>315</v>
      </c>
      <c r="P23" s="40">
        <v>9</v>
      </c>
      <c r="Q23" s="40">
        <f t="shared" si="0"/>
        <v>28</v>
      </c>
      <c r="R23" s="41">
        <f t="shared" si="1"/>
        <v>0.17164179104477612</v>
      </c>
      <c r="S23" s="41">
        <f t="shared" si="2"/>
        <v>-0.94769728778009155</v>
      </c>
      <c r="T23" s="41">
        <f t="shared" si="3"/>
        <v>29.741340197345345</v>
      </c>
      <c r="U23" s="41">
        <f t="shared" si="4"/>
        <v>-0.13470702470064932</v>
      </c>
      <c r="V23" s="41">
        <f t="shared" si="5"/>
        <v>-3.7717966916181811</v>
      </c>
      <c r="W23" s="41">
        <f t="shared" si="6"/>
        <v>-63.51100079362066</v>
      </c>
      <c r="Y23" s="42" t="s">
        <v>316</v>
      </c>
      <c r="Z23" s="43">
        <f>IFERROR(DEVSQ(Totals),"")</f>
        <v>3866.7200000000007</v>
      </c>
      <c r="AB23" s="44">
        <f>IF('Quiz 1 Grades'!$P15="Graded",'Quiz 1 Grades'!$L15,"")</f>
        <v>44</v>
      </c>
      <c r="AC23" s="44">
        <f>IF('Quiz 1 Grades'!$P15="Graded",'Quiz 1 Grades'!C15,"")</f>
        <v>8</v>
      </c>
      <c r="AD23" s="44">
        <f>IF('Quiz 1 Grades'!$P15="Graded",'Quiz 1 Grades'!D15,"")</f>
        <v>15</v>
      </c>
      <c r="AE23" s="44">
        <f>IF('Quiz 1 Grades'!$P15="Graded",'Quiz 1 Grades'!E15,"")</f>
        <v>3</v>
      </c>
      <c r="AF23" s="44">
        <f>IF('Quiz 1 Grades'!$P15="Graded",'Quiz 1 Grades'!F15,"")</f>
        <v>3</v>
      </c>
      <c r="AG23" s="44">
        <f>IF('Quiz 1 Grades'!$P15="Graded",'Quiz 1 Grades'!H15,"")</f>
        <v>5</v>
      </c>
      <c r="AH23" s="44">
        <f>IF('Quiz 1 Grades'!$P15="Graded",'Quiz 1 Grades'!I15,"")</f>
        <v>5</v>
      </c>
      <c r="AI23" s="44">
        <f>IF('Quiz 1 Grades'!$P15="Graded",'Quiz 1 Grades'!J15,"")</f>
        <v>5</v>
      </c>
      <c r="AJ23" s="44">
        <f t="shared" si="7"/>
        <v>36</v>
      </c>
      <c r="AK23" s="44">
        <f t="shared" si="8"/>
        <v>29</v>
      </c>
      <c r="AL23" s="44">
        <f t="shared" si="9"/>
        <v>41</v>
      </c>
      <c r="AM23" s="44">
        <f t="shared" si="10"/>
        <v>41</v>
      </c>
      <c r="AN23" s="44">
        <f t="shared" si="11"/>
        <v>39</v>
      </c>
      <c r="AO23" s="44">
        <f t="shared" si="12"/>
        <v>39</v>
      </c>
      <c r="AP23" s="44">
        <f t="shared" si="13"/>
        <v>39</v>
      </c>
    </row>
    <row r="24" spans="1:42" ht="20.399999999999999" x14ac:dyDescent="0.3">
      <c r="A24" s="4" t="s">
        <v>317</v>
      </c>
      <c r="B24" s="34">
        <f>IFERROR(QUARTILE(Totals,1),"")</f>
        <v>29.75</v>
      </c>
      <c r="C24" s="38" t="s">
        <v>318</v>
      </c>
      <c r="J24" s="4" t="s">
        <v>319</v>
      </c>
      <c r="K24" s="9" t="str">
        <f>TEXT(MeanScore-1*SDScore,"0.0")&amp;" – "&amp;TEXT(MeanScore+1*SDScore,"0.0")</f>
        <v>29.3 – 47.0</v>
      </c>
      <c r="L24" s="47">
        <f>1-2*(1-NORMSDIST(1))</f>
        <v>0.68268949213708607</v>
      </c>
      <c r="M24" s="14">
        <f>COUNTIFS(Totals,"&gt;="&amp;(MeanScore-1*SDScore),Totals,"&lt;="&amp;(MeanScore+1*SDScore))</f>
        <v>30</v>
      </c>
      <c r="N24" s="35">
        <f>IFERROR(M24/nGraded,"")</f>
        <v>0.6</v>
      </c>
      <c r="P24" s="40">
        <v>10</v>
      </c>
      <c r="Q24" s="40">
        <f t="shared" si="0"/>
        <v>28</v>
      </c>
      <c r="R24" s="41">
        <f t="shared" si="1"/>
        <v>0.19154228855721392</v>
      </c>
      <c r="S24" s="41">
        <f t="shared" si="2"/>
        <v>-0.87222695532645922</v>
      </c>
      <c r="T24" s="41">
        <f t="shared" si="3"/>
        <v>30.411764247633236</v>
      </c>
      <c r="U24" s="41">
        <f t="shared" si="4"/>
        <v>-0.12397956555405659</v>
      </c>
      <c r="V24" s="41">
        <f t="shared" si="5"/>
        <v>-3.4714278355135848</v>
      </c>
      <c r="W24" s="41">
        <f t="shared" si="6"/>
        <v>-70.982883239928967</v>
      </c>
      <c r="Y24" s="42" t="s">
        <v>320</v>
      </c>
      <c r="Z24" s="43">
        <f>IFERROR(Z22^2/Z23,"")</f>
        <v>0.93140230092345166</v>
      </c>
      <c r="AB24" s="44">
        <f>IF('Quiz 1 Grades'!$P16="Graded",'Quiz 1 Grades'!$L16,"")</f>
        <v>38</v>
      </c>
      <c r="AC24" s="44">
        <f>IF('Quiz 1 Grades'!$P16="Graded",'Quiz 1 Grades'!C16,"")</f>
        <v>3</v>
      </c>
      <c r="AD24" s="44">
        <f>IF('Quiz 1 Grades'!$P16="Graded",'Quiz 1 Grades'!D16,"")</f>
        <v>15</v>
      </c>
      <c r="AE24" s="44">
        <f>IF('Quiz 1 Grades'!$P16="Graded",'Quiz 1 Grades'!E16,"")</f>
        <v>5</v>
      </c>
      <c r="AF24" s="44">
        <f>IF('Quiz 1 Grades'!$P16="Graded",'Quiz 1 Grades'!F16,"")</f>
        <v>5</v>
      </c>
      <c r="AG24" s="44">
        <f>IF('Quiz 1 Grades'!$P16="Graded",'Quiz 1 Grades'!H16,"")</f>
        <v>5</v>
      </c>
      <c r="AH24" s="44">
        <f>IF('Quiz 1 Grades'!$P16="Graded",'Quiz 1 Grades'!I16,"")</f>
        <v>0</v>
      </c>
      <c r="AI24" s="44">
        <f>IF('Quiz 1 Grades'!$P16="Graded",'Quiz 1 Grades'!J16,"")</f>
        <v>5</v>
      </c>
      <c r="AJ24" s="44">
        <f t="shared" si="7"/>
        <v>35</v>
      </c>
      <c r="AK24" s="44">
        <f t="shared" si="8"/>
        <v>23</v>
      </c>
      <c r="AL24" s="44">
        <f t="shared" si="9"/>
        <v>33</v>
      </c>
      <c r="AM24" s="44">
        <f t="shared" si="10"/>
        <v>33</v>
      </c>
      <c r="AN24" s="44">
        <f t="shared" si="11"/>
        <v>33</v>
      </c>
      <c r="AO24" s="44">
        <f t="shared" si="12"/>
        <v>38</v>
      </c>
      <c r="AP24" s="44">
        <f t="shared" si="13"/>
        <v>33</v>
      </c>
    </row>
    <row r="25" spans="1:42" ht="20.399999999999999" x14ac:dyDescent="0.3">
      <c r="A25" s="4" t="s">
        <v>321</v>
      </c>
      <c r="B25" s="34">
        <f>IFERROR(QUARTILE(Totals,3),"")</f>
        <v>44.75</v>
      </c>
      <c r="C25" s="38" t="s">
        <v>322</v>
      </c>
      <c r="J25" s="4" t="s">
        <v>323</v>
      </c>
      <c r="K25" s="9" t="str">
        <f>TEXT(MeanScore-2*SDScore,"0.0")&amp;" – "&amp;TEXT(MeanScore+2*SDScore,"0.0")</f>
        <v>20.4 – 55.9</v>
      </c>
      <c r="L25" s="47">
        <f>1-2*(1-NORMSDIST(2))</f>
        <v>0.95449973610364158</v>
      </c>
      <c r="M25" s="14">
        <f>COUNTIFS(Totals,"&gt;="&amp;(MeanScore-2*SDScore),Totals,"&lt;="&amp;(MeanScore+2*SDScore))</f>
        <v>49</v>
      </c>
      <c r="N25" s="35">
        <f>IFERROR(M25/nGraded,"")</f>
        <v>0.98</v>
      </c>
      <c r="P25" s="40">
        <v>11</v>
      </c>
      <c r="Q25" s="40">
        <f t="shared" si="0"/>
        <v>29</v>
      </c>
      <c r="R25" s="41">
        <f t="shared" si="1"/>
        <v>0.21144278606965175</v>
      </c>
      <c r="S25" s="41">
        <f t="shared" si="2"/>
        <v>-0.80142512926137854</v>
      </c>
      <c r="T25" s="41">
        <f t="shared" si="3"/>
        <v>31.040716651248168</v>
      </c>
      <c r="U25" s="41">
        <f t="shared" si="4"/>
        <v>-0.11391569446823679</v>
      </c>
      <c r="V25" s="41">
        <f t="shared" si="5"/>
        <v>-3.3035551395788669</v>
      </c>
      <c r="W25" s="41">
        <f t="shared" si="6"/>
        <v>-74.682639351097151</v>
      </c>
      <c r="Y25" s="42" t="s">
        <v>324</v>
      </c>
      <c r="Z25" s="43">
        <f>IFERROR(LN(nGraded),"")</f>
        <v>3.912023005428146</v>
      </c>
      <c r="AB25" s="44">
        <f>IF('Quiz 1 Grades'!$P17="Graded",'Quiz 1 Grades'!$L17,"")</f>
        <v>26</v>
      </c>
      <c r="AC25" s="44">
        <f>IF('Quiz 1 Grades'!$P17="Graded",'Quiz 1 Grades'!C17,"")</f>
        <v>2</v>
      </c>
      <c r="AD25" s="44">
        <f>IF('Quiz 1 Grades'!$P17="Graded",'Quiz 1 Grades'!D17,"")</f>
        <v>8</v>
      </c>
      <c r="AE25" s="44">
        <f>IF('Quiz 1 Grades'!$P17="Graded",'Quiz 1 Grades'!E17,"")</f>
        <v>3</v>
      </c>
      <c r="AF25" s="44">
        <f>IF('Quiz 1 Grades'!$P17="Graded",'Quiz 1 Grades'!F17,"")</f>
        <v>3</v>
      </c>
      <c r="AG25" s="44">
        <f>IF('Quiz 1 Grades'!$P17="Graded",'Quiz 1 Grades'!H17,"")</f>
        <v>5</v>
      </c>
      <c r="AH25" s="44">
        <f>IF('Quiz 1 Grades'!$P17="Graded",'Quiz 1 Grades'!I17,"")</f>
        <v>0</v>
      </c>
      <c r="AI25" s="44">
        <f>IF('Quiz 1 Grades'!$P17="Graded",'Quiz 1 Grades'!J17,"")</f>
        <v>5</v>
      </c>
      <c r="AJ25" s="44">
        <f t="shared" si="7"/>
        <v>24</v>
      </c>
      <c r="AK25" s="44">
        <f t="shared" si="8"/>
        <v>18</v>
      </c>
      <c r="AL25" s="44">
        <f t="shared" si="9"/>
        <v>23</v>
      </c>
      <c r="AM25" s="44">
        <f t="shared" si="10"/>
        <v>23</v>
      </c>
      <c r="AN25" s="44">
        <f t="shared" si="11"/>
        <v>21</v>
      </c>
      <c r="AO25" s="44">
        <f t="shared" si="12"/>
        <v>26</v>
      </c>
      <c r="AP25" s="44">
        <f t="shared" si="13"/>
        <v>21</v>
      </c>
    </row>
    <row r="26" spans="1:42" x14ac:dyDescent="0.3">
      <c r="A26" s="4" t="s">
        <v>325</v>
      </c>
      <c r="B26" s="14">
        <f>IFERROR(MAX(Totals),"")</f>
        <v>50</v>
      </c>
      <c r="C26" s="38"/>
      <c r="J26" s="4" t="s">
        <v>326</v>
      </c>
      <c r="K26" s="9" t="str">
        <f>TEXT(MeanScore-3*SDScore,"0.0")&amp;" – "&amp;TEXT(MeanScore+3*SDScore,"0.0")</f>
        <v>11.5 – 64.8</v>
      </c>
      <c r="L26" s="47">
        <f>1-2*(1-NORMSDIST(3))</f>
        <v>0.99730020393673979</v>
      </c>
      <c r="M26" s="14">
        <f>COUNTIFS(Totals,"&gt;="&amp;(MeanScore-3*SDScore),Totals,"&lt;="&amp;(MeanScore+3*SDScore))</f>
        <v>50</v>
      </c>
      <c r="N26" s="35">
        <f>IFERROR(M26/nGraded,"")</f>
        <v>1</v>
      </c>
      <c r="P26" s="40">
        <v>12</v>
      </c>
      <c r="Q26" s="40">
        <f t="shared" si="0"/>
        <v>29</v>
      </c>
      <c r="R26" s="41">
        <f t="shared" si="1"/>
        <v>0.23134328358208955</v>
      </c>
      <c r="S26" s="41">
        <f t="shared" si="2"/>
        <v>-0.73443023171221422</v>
      </c>
      <c r="T26" s="41">
        <f t="shared" si="3"/>
        <v>31.635851045165513</v>
      </c>
      <c r="U26" s="41">
        <f t="shared" si="4"/>
        <v>-0.10439294555321944</v>
      </c>
      <c r="V26" s="41">
        <f t="shared" si="5"/>
        <v>-3.027395421043364</v>
      </c>
      <c r="W26" s="41">
        <f t="shared" si="6"/>
        <v>-81.795271670249264</v>
      </c>
      <c r="Y26" s="42" t="s">
        <v>327</v>
      </c>
      <c r="Z26" s="43">
        <f>IFERROR(0.0038915*Z25^3-0.083751*Z25^2-0.31082*Z25-1.5861,"")</f>
        <v>-3.8507725374327837</v>
      </c>
      <c r="AB26" s="44" t="str">
        <f>IF('Quiz 1 Grades'!$P18="Graded",'Quiz 1 Grades'!$L18,"")</f>
        <v/>
      </c>
      <c r="AC26" s="44" t="str">
        <f>IF('Quiz 1 Grades'!$P18="Graded",'Quiz 1 Grades'!C18,"")</f>
        <v/>
      </c>
      <c r="AD26" s="44" t="str">
        <f>IF('Quiz 1 Grades'!$P18="Graded",'Quiz 1 Grades'!D18,"")</f>
        <v/>
      </c>
      <c r="AE26" s="44" t="str">
        <f>IF('Quiz 1 Grades'!$P18="Graded",'Quiz 1 Grades'!E18,"")</f>
        <v/>
      </c>
      <c r="AF26" s="44" t="str">
        <f>IF('Quiz 1 Grades'!$P18="Graded",'Quiz 1 Grades'!F18,"")</f>
        <v/>
      </c>
      <c r="AG26" s="44" t="str">
        <f>IF('Quiz 1 Grades'!$P18="Graded",'Quiz 1 Grades'!H18,"")</f>
        <v/>
      </c>
      <c r="AH26" s="44" t="str">
        <f>IF('Quiz 1 Grades'!$P18="Graded",'Quiz 1 Grades'!I18,"")</f>
        <v/>
      </c>
      <c r="AI26" s="44" t="str">
        <f>IF('Quiz 1 Grades'!$P18="Graded",'Quiz 1 Grades'!J18,"")</f>
        <v/>
      </c>
      <c r="AJ26" s="44" t="str">
        <f t="shared" si="7"/>
        <v/>
      </c>
      <c r="AK26" s="44" t="str">
        <f t="shared" si="8"/>
        <v/>
      </c>
      <c r="AL26" s="44" t="str">
        <f t="shared" si="9"/>
        <v/>
      </c>
      <c r="AM26" s="44" t="str">
        <f t="shared" si="10"/>
        <v/>
      </c>
      <c r="AN26" s="44" t="str">
        <f t="shared" si="11"/>
        <v/>
      </c>
      <c r="AO26" s="44" t="str">
        <f t="shared" si="12"/>
        <v/>
      </c>
      <c r="AP26" s="44" t="str">
        <f t="shared" si="13"/>
        <v/>
      </c>
    </row>
    <row r="27" spans="1:42" x14ac:dyDescent="0.3">
      <c r="A27" s="4" t="s">
        <v>230</v>
      </c>
      <c r="B27" s="14">
        <f>IFERROR(B26-B23,"")</f>
        <v>34</v>
      </c>
      <c r="C27" s="38" t="s">
        <v>328</v>
      </c>
      <c r="P27" s="40">
        <v>13</v>
      </c>
      <c r="Q27" s="40">
        <f t="shared" si="0"/>
        <v>29</v>
      </c>
      <c r="R27" s="41">
        <f t="shared" si="1"/>
        <v>0.25124378109452739</v>
      </c>
      <c r="S27" s="41">
        <f t="shared" si="2"/>
        <v>-0.67058088629718193</v>
      </c>
      <c r="T27" s="41">
        <f t="shared" si="3"/>
        <v>32.203042620579282</v>
      </c>
      <c r="U27" s="41">
        <f t="shared" si="4"/>
        <v>-9.5317309840374773E-2</v>
      </c>
      <c r="V27" s="41">
        <f t="shared" si="5"/>
        <v>-2.7642019853708684</v>
      </c>
      <c r="W27" s="41">
        <f t="shared" si="6"/>
        <v>-85.001968372756323</v>
      </c>
      <c r="Y27" s="42" t="s">
        <v>329</v>
      </c>
      <c r="Z27" s="43">
        <f>IFERROR(EXP(0.0030302*Z25^2-0.082676*Z25-0.4803),"")</f>
        <v>0.46890435581026257</v>
      </c>
      <c r="AB27" s="44">
        <f>IF('Quiz 1 Grades'!$P19="Graded",'Quiz 1 Grades'!$L19,"")</f>
        <v>48</v>
      </c>
      <c r="AC27" s="44">
        <f>IF('Quiz 1 Grades'!$P19="Graded",'Quiz 1 Grades'!C19,"")</f>
        <v>10</v>
      </c>
      <c r="AD27" s="44">
        <f>IF('Quiz 1 Grades'!$P19="Graded",'Quiz 1 Grades'!D19,"")</f>
        <v>15</v>
      </c>
      <c r="AE27" s="44">
        <f>IF('Quiz 1 Grades'!$P19="Graded",'Quiz 1 Grades'!E19,"")</f>
        <v>4</v>
      </c>
      <c r="AF27" s="44">
        <f>IF('Quiz 1 Grades'!$P19="Graded",'Quiz 1 Grades'!F19,"")</f>
        <v>4</v>
      </c>
      <c r="AG27" s="44">
        <f>IF('Quiz 1 Grades'!$P19="Graded",'Quiz 1 Grades'!H19,"")</f>
        <v>5</v>
      </c>
      <c r="AH27" s="44">
        <f>IF('Quiz 1 Grades'!$P19="Graded",'Quiz 1 Grades'!I19,"")</f>
        <v>5</v>
      </c>
      <c r="AI27" s="44">
        <f>IF('Quiz 1 Grades'!$P19="Graded",'Quiz 1 Grades'!J19,"")</f>
        <v>5</v>
      </c>
      <c r="AJ27" s="44">
        <f t="shared" si="7"/>
        <v>38</v>
      </c>
      <c r="AK27" s="44">
        <f t="shared" si="8"/>
        <v>33</v>
      </c>
      <c r="AL27" s="44">
        <f t="shared" si="9"/>
        <v>44</v>
      </c>
      <c r="AM27" s="44">
        <f t="shared" si="10"/>
        <v>44</v>
      </c>
      <c r="AN27" s="44">
        <f t="shared" si="11"/>
        <v>43</v>
      </c>
      <c r="AO27" s="44">
        <f t="shared" si="12"/>
        <v>43</v>
      </c>
      <c r="AP27" s="44">
        <f t="shared" si="13"/>
        <v>43</v>
      </c>
    </row>
    <row r="28" spans="1:42" ht="30" customHeight="1" x14ac:dyDescent="0.3">
      <c r="A28" s="4" t="s">
        <v>330</v>
      </c>
      <c r="B28" s="34">
        <f>IFERROR(B25-B24,"")</f>
        <v>15</v>
      </c>
      <c r="C28" s="38" t="s">
        <v>331</v>
      </c>
      <c r="J28" s="8" t="s">
        <v>332</v>
      </c>
      <c r="K28" s="8" t="s">
        <v>246</v>
      </c>
      <c r="L28" s="8" t="s">
        <v>313</v>
      </c>
      <c r="M28" s="8" t="s">
        <v>314</v>
      </c>
      <c r="N28" s="8" t="s">
        <v>315</v>
      </c>
      <c r="P28" s="40">
        <v>14</v>
      </c>
      <c r="Q28" s="40">
        <f t="shared" si="0"/>
        <v>32</v>
      </c>
      <c r="R28" s="41">
        <f t="shared" si="1"/>
        <v>0.27114427860696516</v>
      </c>
      <c r="S28" s="41">
        <f t="shared" si="2"/>
        <v>-0.60935590740053014</v>
      </c>
      <c r="T28" s="41">
        <f t="shared" si="3"/>
        <v>32.746921214938226</v>
      </c>
      <c r="U28" s="41">
        <f t="shared" si="4"/>
        <v>-8.6614705273628578E-2</v>
      </c>
      <c r="V28" s="41">
        <f t="shared" si="5"/>
        <v>-2.7716705687561145</v>
      </c>
      <c r="W28" s="41">
        <f t="shared" si="6"/>
        <v>-74.930837506628194</v>
      </c>
      <c r="Y28" s="42" t="s">
        <v>333</v>
      </c>
      <c r="Z28" s="43">
        <f>IFERROR((LN(1-Z24)-Z26)/Z27,"")</f>
        <v>2.4979001302682002</v>
      </c>
      <c r="AB28" s="44">
        <f>IF('Quiz 1 Grades'!$P20="Graded",'Quiz 1 Grades'!$L20,"")</f>
        <v>43</v>
      </c>
      <c r="AC28" s="44">
        <f>IF('Quiz 1 Grades'!$P20="Graded",'Quiz 1 Grades'!C20,"")</f>
        <v>10</v>
      </c>
      <c r="AD28" s="44">
        <f>IF('Quiz 1 Grades'!$P20="Graded",'Quiz 1 Grades'!D20,"")</f>
        <v>15</v>
      </c>
      <c r="AE28" s="44">
        <f>IF('Quiz 1 Grades'!$P20="Graded",'Quiz 1 Grades'!E20,"")</f>
        <v>4</v>
      </c>
      <c r="AF28" s="44">
        <f>IF('Quiz 1 Grades'!$P20="Graded",'Quiz 1 Grades'!F20,"")</f>
        <v>4</v>
      </c>
      <c r="AG28" s="44">
        <f>IF('Quiz 1 Grades'!$P20="Graded",'Quiz 1 Grades'!H20,"")</f>
        <v>5</v>
      </c>
      <c r="AH28" s="44">
        <f>IF('Quiz 1 Grades'!$P20="Graded",'Quiz 1 Grades'!I20,"")</f>
        <v>0</v>
      </c>
      <c r="AI28" s="44">
        <f>IF('Quiz 1 Grades'!$P20="Graded",'Quiz 1 Grades'!J20,"")</f>
        <v>5</v>
      </c>
      <c r="AJ28" s="44">
        <f t="shared" si="7"/>
        <v>33</v>
      </c>
      <c r="AK28" s="44">
        <f t="shared" si="8"/>
        <v>28</v>
      </c>
      <c r="AL28" s="44">
        <f t="shared" si="9"/>
        <v>39</v>
      </c>
      <c r="AM28" s="44">
        <f t="shared" si="10"/>
        <v>39</v>
      </c>
      <c r="AN28" s="44">
        <f t="shared" si="11"/>
        <v>38</v>
      </c>
      <c r="AO28" s="44">
        <f t="shared" si="12"/>
        <v>43</v>
      </c>
      <c r="AP28" s="44">
        <f t="shared" si="13"/>
        <v>38</v>
      </c>
    </row>
    <row r="29" spans="1:42" x14ac:dyDescent="0.3">
      <c r="A29" s="4" t="s">
        <v>334</v>
      </c>
      <c r="B29" s="35">
        <f>IFERROR(B18/B16,"")</f>
        <v>0.23279034091092876</v>
      </c>
      <c r="C29" s="38" t="s">
        <v>335</v>
      </c>
      <c r="J29" s="4" t="s">
        <v>336</v>
      </c>
      <c r="K29" s="9" t="str">
        <f>"≥ "&amp;TEXT(MeanScore+SDScore,"0.0")</f>
        <v>≥ 47.0</v>
      </c>
      <c r="L29" s="47">
        <f>1-NORMSDIST(1)</f>
        <v>0.15865525393145696</v>
      </c>
      <c r="M29" s="14">
        <f>COUNTIF(Totals,"&gt;="&amp;(MeanScore+SDScore))</f>
        <v>7</v>
      </c>
      <c r="N29" s="35">
        <f>IFERROR(M29/nGraded,"")</f>
        <v>0.14000000000000001</v>
      </c>
      <c r="P29" s="40">
        <v>15</v>
      </c>
      <c r="Q29" s="40">
        <f t="shared" si="0"/>
        <v>33</v>
      </c>
      <c r="R29" s="41">
        <f t="shared" si="1"/>
        <v>0.29104477611940299</v>
      </c>
      <c r="S29" s="41">
        <f t="shared" si="2"/>
        <v>-0.55033510225978444</v>
      </c>
      <c r="T29" s="41">
        <f t="shared" si="3"/>
        <v>33.271219517957121</v>
      </c>
      <c r="U29" s="41">
        <f t="shared" si="4"/>
        <v>-7.8225405063041153E-2</v>
      </c>
      <c r="V29" s="41">
        <f t="shared" si="5"/>
        <v>-2.581438367080358</v>
      </c>
      <c r="W29" s="41">
        <f t="shared" si="6"/>
        <v>-76.423514619541635</v>
      </c>
      <c r="Y29" s="42" t="s">
        <v>337</v>
      </c>
      <c r="Z29" s="43">
        <f>IFERROR(1-NORMSDIST(Z28),"")</f>
        <v>6.2465692283288909E-3</v>
      </c>
      <c r="AB29" s="44">
        <f>IF('Quiz 1 Grades'!$P21="Graded",'Quiz 1 Grades'!$L21,"")</f>
        <v>29</v>
      </c>
      <c r="AC29" s="44">
        <f>IF('Quiz 1 Grades'!$P21="Graded",'Quiz 1 Grades'!C21,"")</f>
        <v>3</v>
      </c>
      <c r="AD29" s="44">
        <f>IF('Quiz 1 Grades'!$P21="Graded",'Quiz 1 Grades'!D21,"")</f>
        <v>8</v>
      </c>
      <c r="AE29" s="44">
        <f>IF('Quiz 1 Grades'!$P21="Graded",'Quiz 1 Grades'!E21,"")</f>
        <v>4</v>
      </c>
      <c r="AF29" s="44">
        <f>IF('Quiz 1 Grades'!$P21="Graded",'Quiz 1 Grades'!F21,"")</f>
        <v>4</v>
      </c>
      <c r="AG29" s="44">
        <f>IF('Quiz 1 Grades'!$P21="Graded",'Quiz 1 Grades'!H21,"")</f>
        <v>5</v>
      </c>
      <c r="AH29" s="44">
        <f>IF('Quiz 1 Grades'!$P21="Graded",'Quiz 1 Grades'!I21,"")</f>
        <v>0</v>
      </c>
      <c r="AI29" s="44">
        <f>IF('Quiz 1 Grades'!$P21="Graded",'Quiz 1 Grades'!J21,"")</f>
        <v>5</v>
      </c>
      <c r="AJ29" s="44">
        <f t="shared" si="7"/>
        <v>26</v>
      </c>
      <c r="AK29" s="44">
        <f t="shared" si="8"/>
        <v>21</v>
      </c>
      <c r="AL29" s="44">
        <f t="shared" si="9"/>
        <v>25</v>
      </c>
      <c r="AM29" s="44">
        <f t="shared" si="10"/>
        <v>25</v>
      </c>
      <c r="AN29" s="44">
        <f t="shared" si="11"/>
        <v>24</v>
      </c>
      <c r="AO29" s="44">
        <f t="shared" si="12"/>
        <v>29</v>
      </c>
      <c r="AP29" s="44">
        <f t="shared" si="13"/>
        <v>24</v>
      </c>
    </row>
    <row r="30" spans="1:42" ht="20.399999999999999" x14ac:dyDescent="0.3">
      <c r="A30" s="4" t="s">
        <v>338</v>
      </c>
      <c r="B30" s="48">
        <f>IFERROR(SKEW(Totals),"")</f>
        <v>-0.61465094317913005</v>
      </c>
      <c r="C30" s="38" t="s">
        <v>339</v>
      </c>
      <c r="J30" s="4" t="s">
        <v>340</v>
      </c>
      <c r="K30" s="9" t="str">
        <f>TEXT(MeanScore,"0.0")&amp;" – "&amp;TEXT(MeanScore+SDScore,"0.0")</f>
        <v>38.2 – 47.0</v>
      </c>
      <c r="L30" s="47">
        <f>NORMSDIST(1)-0.5</f>
        <v>0.34134474606854304</v>
      </c>
      <c r="M30" s="14">
        <f>COUNTIFS(Totals,"&gt;="&amp;(MeanScore),Totals,"&lt;"&amp;(MeanScore+SDScore))</f>
        <v>21</v>
      </c>
      <c r="N30" s="35">
        <f>IFERROR(M30/nGraded,"")</f>
        <v>0.42</v>
      </c>
      <c r="P30" s="40">
        <v>16</v>
      </c>
      <c r="Q30" s="40">
        <f t="shared" si="0"/>
        <v>35</v>
      </c>
      <c r="R30" s="41">
        <f t="shared" si="1"/>
        <v>0.31094527363184077</v>
      </c>
      <c r="S30" s="41">
        <f t="shared" si="2"/>
        <v>-0.49317272624229946</v>
      </c>
      <c r="T30" s="41">
        <f t="shared" si="3"/>
        <v>33.779008875811961</v>
      </c>
      <c r="U30" s="41">
        <f t="shared" si="4"/>
        <v>-7.0100264580501406E-2</v>
      </c>
      <c r="V30" s="41">
        <f t="shared" si="5"/>
        <v>-2.4535092603175492</v>
      </c>
      <c r="W30" s="41">
        <f t="shared" si="6"/>
        <v>-73.888908046271624</v>
      </c>
      <c r="Y30" s="42" t="s">
        <v>341</v>
      </c>
      <c r="Z30" s="43">
        <f>IFERROR(-nGraded-SUM(W15:W66)/nGraded,"")</f>
        <v>1.1957195632383844</v>
      </c>
      <c r="AB30" s="44">
        <f>IF('Quiz 1 Grades'!$P22="Graded",'Quiz 1 Grades'!$L22,"")</f>
        <v>43</v>
      </c>
      <c r="AC30" s="44">
        <f>IF('Quiz 1 Grades'!$P22="Graded",'Quiz 1 Grades'!C22,"")</f>
        <v>8</v>
      </c>
      <c r="AD30" s="44">
        <f>IF('Quiz 1 Grades'!$P22="Graded",'Quiz 1 Grades'!D22,"")</f>
        <v>15</v>
      </c>
      <c r="AE30" s="44">
        <f>IF('Quiz 1 Grades'!$P22="Graded",'Quiz 1 Grades'!E22,"")</f>
        <v>5</v>
      </c>
      <c r="AF30" s="44">
        <f>IF('Quiz 1 Grades'!$P22="Graded",'Quiz 1 Grades'!F22,"")</f>
        <v>5</v>
      </c>
      <c r="AG30" s="44">
        <f>IF('Quiz 1 Grades'!$P22="Graded",'Quiz 1 Grades'!H22,"")</f>
        <v>5</v>
      </c>
      <c r="AH30" s="44">
        <f>IF('Quiz 1 Grades'!$P22="Graded",'Quiz 1 Grades'!I22,"")</f>
        <v>0</v>
      </c>
      <c r="AI30" s="44">
        <f>IF('Quiz 1 Grades'!$P22="Graded",'Quiz 1 Grades'!J22,"")</f>
        <v>5</v>
      </c>
      <c r="AJ30" s="44">
        <f t="shared" si="7"/>
        <v>35</v>
      </c>
      <c r="AK30" s="44">
        <f t="shared" si="8"/>
        <v>28</v>
      </c>
      <c r="AL30" s="44">
        <f t="shared" si="9"/>
        <v>38</v>
      </c>
      <c r="AM30" s="44">
        <f t="shared" si="10"/>
        <v>38</v>
      </c>
      <c r="AN30" s="44">
        <f t="shared" si="11"/>
        <v>38</v>
      </c>
      <c r="AO30" s="44">
        <f t="shared" si="12"/>
        <v>43</v>
      </c>
      <c r="AP30" s="44">
        <f t="shared" si="13"/>
        <v>38</v>
      </c>
    </row>
    <row r="31" spans="1:42" ht="20.399999999999999" x14ac:dyDescent="0.3">
      <c r="A31" s="4" t="s">
        <v>342</v>
      </c>
      <c r="B31" s="48">
        <f>IFERROR(KURT(Totals),"")</f>
        <v>-0.58472995568052699</v>
      </c>
      <c r="C31" s="38" t="s">
        <v>343</v>
      </c>
      <c r="J31" s="4" t="s">
        <v>344</v>
      </c>
      <c r="K31" s="9" t="str">
        <f>TEXT(MeanScore-SDScore,"0.0")&amp;" – "&amp;TEXT(MeanScore,"0.0")</f>
        <v>29.3 – 38.2</v>
      </c>
      <c r="L31" s="47">
        <f>NORMSDIST(1)-0.5</f>
        <v>0.34134474606854304</v>
      </c>
      <c r="M31" s="14">
        <f>COUNTIFS(Totals,"&gt;="&amp;(MeanScore-SDScore),Totals,"&lt;"&amp;(MeanScore))</f>
        <v>9</v>
      </c>
      <c r="N31" s="35">
        <f>IFERROR(M31/nGraded,"")</f>
        <v>0.18</v>
      </c>
      <c r="P31" s="40">
        <v>17</v>
      </c>
      <c r="Q31" s="40">
        <f t="shared" si="0"/>
        <v>36</v>
      </c>
      <c r="R31" s="41">
        <f t="shared" si="1"/>
        <v>0.3308457711442786</v>
      </c>
      <c r="S31" s="41">
        <f t="shared" si="2"/>
        <v>-0.43757893748896998</v>
      </c>
      <c r="T31" s="41">
        <f t="shared" si="3"/>
        <v>34.272864034721664</v>
      </c>
      <c r="U31" s="41">
        <f t="shared" si="4"/>
        <v>-6.2198085296713911E-2</v>
      </c>
      <c r="V31" s="41">
        <f t="shared" si="5"/>
        <v>-2.2391310706817009</v>
      </c>
      <c r="W31" s="41">
        <f t="shared" si="6"/>
        <v>-70.431928556983905</v>
      </c>
      <c r="Y31" s="42" t="s">
        <v>345</v>
      </c>
      <c r="Z31" s="43">
        <f>IFERROR(Z30*(1+0.75/nGraded+2.25/nGraded^2),"")</f>
        <v>1.2147315042938744</v>
      </c>
      <c r="AB31" s="44">
        <f>IF('Quiz 1 Grades'!$P23="Graded",'Quiz 1 Grades'!$L23,"")</f>
        <v>26</v>
      </c>
      <c r="AC31" s="44">
        <f>IF('Quiz 1 Grades'!$P23="Graded",'Quiz 1 Grades'!C23,"")</f>
        <v>3</v>
      </c>
      <c r="AD31" s="44">
        <f>IF('Quiz 1 Grades'!$P23="Graded",'Quiz 1 Grades'!D23,"")</f>
        <v>5</v>
      </c>
      <c r="AE31" s="44">
        <f>IF('Quiz 1 Grades'!$P23="Graded",'Quiz 1 Grades'!E23,"")</f>
        <v>4</v>
      </c>
      <c r="AF31" s="44">
        <f>IF('Quiz 1 Grades'!$P23="Graded",'Quiz 1 Grades'!F23,"")</f>
        <v>4</v>
      </c>
      <c r="AG31" s="44">
        <f>IF('Quiz 1 Grades'!$P23="Graded",'Quiz 1 Grades'!H23,"")</f>
        <v>0</v>
      </c>
      <c r="AH31" s="44">
        <f>IF('Quiz 1 Grades'!$P23="Graded",'Quiz 1 Grades'!I23,"")</f>
        <v>5</v>
      </c>
      <c r="AI31" s="44">
        <f>IF('Quiz 1 Grades'!$P23="Graded",'Quiz 1 Grades'!J23,"")</f>
        <v>5</v>
      </c>
      <c r="AJ31" s="44">
        <f t="shared" si="7"/>
        <v>23</v>
      </c>
      <c r="AK31" s="44">
        <f t="shared" si="8"/>
        <v>21</v>
      </c>
      <c r="AL31" s="44">
        <f t="shared" si="9"/>
        <v>22</v>
      </c>
      <c r="AM31" s="44">
        <f t="shared" si="10"/>
        <v>22</v>
      </c>
      <c r="AN31" s="44">
        <f t="shared" si="11"/>
        <v>26</v>
      </c>
      <c r="AO31" s="44">
        <f t="shared" si="12"/>
        <v>21</v>
      </c>
      <c r="AP31" s="44">
        <f t="shared" si="13"/>
        <v>21</v>
      </c>
    </row>
    <row r="32" spans="1:42" x14ac:dyDescent="0.3">
      <c r="A32" s="4" t="s">
        <v>346</v>
      </c>
      <c r="B32" s="35">
        <f>IFERROR(B16/MaxScore,"")</f>
        <v>0.76319999999999988</v>
      </c>
      <c r="C32" s="38"/>
      <c r="J32" s="4" t="s">
        <v>347</v>
      </c>
      <c r="K32" s="9" t="str">
        <f>TEXT(MeanScore-2*SDScore,"0.0")&amp;" – "&amp;TEXT(MeanScore-SDScore,"0.0")</f>
        <v>20.4 – 29.3</v>
      </c>
      <c r="L32" s="47">
        <f>NORMSDIST(2)-NORMSDIST(1)</f>
        <v>0.13590512198327775</v>
      </c>
      <c r="M32" s="14">
        <f>COUNTIFS(Totals,"&gt;="&amp;(MeanScore-2*SDScore),Totals,"&lt;"&amp;(MeanScore-SDScore))</f>
        <v>12</v>
      </c>
      <c r="N32" s="35">
        <f>IFERROR(M32/nGraded,"")</f>
        <v>0.24</v>
      </c>
      <c r="P32" s="40">
        <v>18</v>
      </c>
      <c r="Q32" s="40">
        <f t="shared" si="0"/>
        <v>37</v>
      </c>
      <c r="R32" s="41">
        <f t="shared" si="1"/>
        <v>0.35074626865671643</v>
      </c>
      <c r="S32" s="41">
        <f t="shared" si="2"/>
        <v>-0.38330647709930993</v>
      </c>
      <c r="T32" s="41">
        <f t="shared" si="3"/>
        <v>34.75498146458564</v>
      </c>
      <c r="U32" s="41">
        <f t="shared" si="4"/>
        <v>-5.4483721483981964E-2</v>
      </c>
      <c r="V32" s="41">
        <f t="shared" si="5"/>
        <v>-2.0158976949073328</v>
      </c>
      <c r="W32" s="41">
        <f t="shared" si="6"/>
        <v>-71.073245195389916</v>
      </c>
      <c r="Y32" s="42" t="s">
        <v>348</v>
      </c>
      <c r="Z32" s="43">
        <f>IFERROR(IF(Z31&gt;=0.6,EXP(1.2937-5.709*Z31+0.0186*Z31^2),IF(Z31&gt;=0.34,EXP(0.9177-4.279*Z31-1.38*Z31^2),IF(Z31&gt;=0.2,1-EXP(-8.318+42.796*Z31-59.938*Z31^2),1-EXP(-13.436+101.14*Z31-223.73*Z31^2)))),"")</f>
        <v>3.6473423235353717E-3</v>
      </c>
      <c r="AB32" s="44">
        <f>IF('Quiz 1 Grades'!$P24="Graded",'Quiz 1 Grades'!$L24,"")</f>
        <v>28</v>
      </c>
      <c r="AC32" s="44">
        <f>IF('Quiz 1 Grades'!$P24="Graded",'Quiz 1 Grades'!C24,"")</f>
        <v>4</v>
      </c>
      <c r="AD32" s="44">
        <f>IF('Quiz 1 Grades'!$P24="Graded",'Quiz 1 Grades'!D24,"")</f>
        <v>8</v>
      </c>
      <c r="AE32" s="44">
        <f>IF('Quiz 1 Grades'!$P24="Graded",'Quiz 1 Grades'!E24,"")</f>
        <v>3</v>
      </c>
      <c r="AF32" s="44">
        <f>IF('Quiz 1 Grades'!$P24="Graded",'Quiz 1 Grades'!F24,"")</f>
        <v>3</v>
      </c>
      <c r="AG32" s="44">
        <f>IF('Quiz 1 Grades'!$P24="Graded",'Quiz 1 Grades'!H24,"")</f>
        <v>0</v>
      </c>
      <c r="AH32" s="44">
        <f>IF('Quiz 1 Grades'!$P24="Graded",'Quiz 1 Grades'!I24,"")</f>
        <v>5</v>
      </c>
      <c r="AI32" s="44">
        <f>IF('Quiz 1 Grades'!$P24="Graded",'Quiz 1 Grades'!J24,"")</f>
        <v>5</v>
      </c>
      <c r="AJ32" s="44">
        <f t="shared" si="7"/>
        <v>24</v>
      </c>
      <c r="AK32" s="44">
        <f t="shared" si="8"/>
        <v>20</v>
      </c>
      <c r="AL32" s="44">
        <f t="shared" si="9"/>
        <v>25</v>
      </c>
      <c r="AM32" s="44">
        <f t="shared" si="10"/>
        <v>25</v>
      </c>
      <c r="AN32" s="44">
        <f t="shared" si="11"/>
        <v>28</v>
      </c>
      <c r="AO32" s="44">
        <f t="shared" si="12"/>
        <v>23</v>
      </c>
      <c r="AP32" s="44">
        <f t="shared" si="13"/>
        <v>23</v>
      </c>
    </row>
    <row r="33" spans="1:42" x14ac:dyDescent="0.3">
      <c r="A33" s="4" t="s">
        <v>349</v>
      </c>
      <c r="B33" s="35">
        <f>IFERROR(B17/MaxScore,"")</f>
        <v>0.81</v>
      </c>
      <c r="C33" s="38"/>
      <c r="J33" s="4" t="s">
        <v>350</v>
      </c>
      <c r="K33" s="9" t="str">
        <f>"&lt; "&amp;TEXT(MeanScore-2*SDScore,"0.0")</f>
        <v>&lt; 20.4</v>
      </c>
      <c r="L33" s="47">
        <f>1-NORMSDIST(2)</f>
        <v>2.2750131948179209E-2</v>
      </c>
      <c r="M33" s="14">
        <f>COUNTIF(Totals,"&lt;"&amp;(MeanScore-2*SDScore))</f>
        <v>1</v>
      </c>
      <c r="N33" s="35">
        <f>IFERROR(M33/nGraded,"")</f>
        <v>0.02</v>
      </c>
      <c r="P33" s="40">
        <v>19</v>
      </c>
      <c r="Q33" s="40">
        <f t="shared" si="0"/>
        <v>38</v>
      </c>
      <c r="R33" s="41">
        <f t="shared" si="1"/>
        <v>0.37064676616915421</v>
      </c>
      <c r="S33" s="41">
        <f t="shared" si="2"/>
        <v>-0.33014085768099016</v>
      </c>
      <c r="T33" s="41">
        <f t="shared" si="3"/>
        <v>35.227266516839691</v>
      </c>
      <c r="U33" s="41">
        <f t="shared" si="4"/>
        <v>-4.6926685602846491E-2</v>
      </c>
      <c r="V33" s="41">
        <f t="shared" si="5"/>
        <v>-1.7832140529081666</v>
      </c>
      <c r="W33" s="41">
        <f t="shared" si="6"/>
        <v>-71.611341670355728</v>
      </c>
      <c r="Y33" s="42" t="s">
        <v>351</v>
      </c>
      <c r="Z33" s="43">
        <f>IFERROR(SQRT(6*nGraded*(nGraded-1)/((nGraded-2)*(nGraded+1)*(nGraded+3))),"")</f>
        <v>0.33660070854935886</v>
      </c>
      <c r="AB33" s="44">
        <f>IF('Quiz 1 Grades'!$P25="Graded",'Quiz 1 Grades'!$L25,"")</f>
        <v>23</v>
      </c>
      <c r="AC33" s="44">
        <f>IF('Quiz 1 Grades'!$P25="Graded",'Quiz 1 Grades'!C25,"")</f>
        <v>8</v>
      </c>
      <c r="AD33" s="44">
        <f>IF('Quiz 1 Grades'!$P25="Graded",'Quiz 1 Grades'!D25,"")</f>
        <v>5</v>
      </c>
      <c r="AE33" s="44">
        <f>IF('Quiz 1 Grades'!$P25="Graded",'Quiz 1 Grades'!E25,"")</f>
        <v>5</v>
      </c>
      <c r="AF33" s="44">
        <f>IF('Quiz 1 Grades'!$P25="Graded",'Quiz 1 Grades'!F25,"")</f>
        <v>5</v>
      </c>
      <c r="AG33" s="44">
        <f>IF('Quiz 1 Grades'!$P25="Graded",'Quiz 1 Grades'!H25,"")</f>
        <v>0</v>
      </c>
      <c r="AH33" s="44">
        <f>IF('Quiz 1 Grades'!$P25="Graded",'Quiz 1 Grades'!I25,"")</f>
        <v>0</v>
      </c>
      <c r="AI33" s="44">
        <f>IF('Quiz 1 Grades'!$P25="Graded",'Quiz 1 Grades'!J25,"")</f>
        <v>0</v>
      </c>
      <c r="AJ33" s="44">
        <f t="shared" si="7"/>
        <v>15</v>
      </c>
      <c r="AK33" s="44">
        <f t="shared" si="8"/>
        <v>18</v>
      </c>
      <c r="AL33" s="44">
        <f t="shared" si="9"/>
        <v>18</v>
      </c>
      <c r="AM33" s="44">
        <f t="shared" si="10"/>
        <v>18</v>
      </c>
      <c r="AN33" s="44">
        <f t="shared" si="11"/>
        <v>23</v>
      </c>
      <c r="AO33" s="44">
        <f t="shared" si="12"/>
        <v>23</v>
      </c>
      <c r="AP33" s="44">
        <f t="shared" si="13"/>
        <v>23</v>
      </c>
    </row>
    <row r="34" spans="1:42" x14ac:dyDescent="0.3">
      <c r="A34" s="1" t="s">
        <v>352</v>
      </c>
      <c r="B34" s="49">
        <v>0.05</v>
      </c>
      <c r="J34" s="1" t="s">
        <v>249</v>
      </c>
      <c r="M34" s="14">
        <f>SUM(M29:M33)</f>
        <v>50</v>
      </c>
      <c r="N34" s="9" t="str">
        <f>IF(M34=nGraded,"✔ = n","check")</f>
        <v>✔ = n</v>
      </c>
      <c r="P34" s="40">
        <v>20</v>
      </c>
      <c r="Q34" s="40">
        <f t="shared" si="0"/>
        <v>38</v>
      </c>
      <c r="R34" s="41">
        <f t="shared" si="1"/>
        <v>0.39054726368159204</v>
      </c>
      <c r="S34" s="41">
        <f t="shared" si="2"/>
        <v>-0.27789296115186518</v>
      </c>
      <c r="T34" s="41">
        <f t="shared" si="3"/>
        <v>35.691399180248844</v>
      </c>
      <c r="U34" s="41">
        <f t="shared" si="4"/>
        <v>-3.9500096143260555E-2</v>
      </c>
      <c r="V34" s="41">
        <f t="shared" si="5"/>
        <v>-1.5010036534439011</v>
      </c>
      <c r="W34" s="41">
        <f t="shared" si="6"/>
        <v>-75.482225003888473</v>
      </c>
      <c r="Y34" s="42" t="s">
        <v>353</v>
      </c>
      <c r="Z34" s="43">
        <f>IFERROR(2*Z33*SQRT((nGraded^2-1)/((nGraded-3)*(nGraded+5))),"")</f>
        <v>0.66190837451414797</v>
      </c>
      <c r="AB34" s="44">
        <f>IF('Quiz 1 Grades'!$P26="Graded",'Quiz 1 Grades'!$L26,"")</f>
        <v>50</v>
      </c>
      <c r="AC34" s="44">
        <f>IF('Quiz 1 Grades'!$P26="Graded",'Quiz 1 Grades'!C26,"")</f>
        <v>10</v>
      </c>
      <c r="AD34" s="44">
        <f>IF('Quiz 1 Grades'!$P26="Graded",'Quiz 1 Grades'!D26,"")</f>
        <v>15</v>
      </c>
      <c r="AE34" s="44">
        <f>IF('Quiz 1 Grades'!$P26="Graded",'Quiz 1 Grades'!E26,"")</f>
        <v>5</v>
      </c>
      <c r="AF34" s="44">
        <f>IF('Quiz 1 Grades'!$P26="Graded",'Quiz 1 Grades'!F26,"")</f>
        <v>5</v>
      </c>
      <c r="AG34" s="44">
        <f>IF('Quiz 1 Grades'!$P26="Graded",'Quiz 1 Grades'!H26,"")</f>
        <v>5</v>
      </c>
      <c r="AH34" s="44">
        <f>IF('Quiz 1 Grades'!$P26="Graded",'Quiz 1 Grades'!I26,"")</f>
        <v>5</v>
      </c>
      <c r="AI34" s="44">
        <f>IF('Quiz 1 Grades'!$P26="Graded",'Quiz 1 Grades'!J26,"")</f>
        <v>5</v>
      </c>
      <c r="AJ34" s="44">
        <f t="shared" si="7"/>
        <v>40</v>
      </c>
      <c r="AK34" s="44">
        <f t="shared" si="8"/>
        <v>35</v>
      </c>
      <c r="AL34" s="44">
        <f t="shared" si="9"/>
        <v>45</v>
      </c>
      <c r="AM34" s="44">
        <f t="shared" si="10"/>
        <v>45</v>
      </c>
      <c r="AN34" s="44">
        <f t="shared" si="11"/>
        <v>45</v>
      </c>
      <c r="AO34" s="44">
        <f t="shared" si="12"/>
        <v>45</v>
      </c>
      <c r="AP34" s="44">
        <f t="shared" si="13"/>
        <v>45</v>
      </c>
    </row>
    <row r="35" spans="1:42" x14ac:dyDescent="0.3">
      <c r="A35" s="1" t="s">
        <v>354</v>
      </c>
      <c r="B35" s="50">
        <v>0.95</v>
      </c>
      <c r="P35" s="40">
        <v>21</v>
      </c>
      <c r="Q35" s="40">
        <f t="shared" si="0"/>
        <v>38</v>
      </c>
      <c r="R35" s="41">
        <f t="shared" si="1"/>
        <v>0.41044776119402987</v>
      </c>
      <c r="S35" s="41">
        <f t="shared" si="2"/>
        <v>-0.22639332071192098</v>
      </c>
      <c r="T35" s="41">
        <f t="shared" si="3"/>
        <v>36.148884875748195</v>
      </c>
      <c r="U35" s="41">
        <f t="shared" si="4"/>
        <v>-3.2179864856043974E-2</v>
      </c>
      <c r="V35" s="41">
        <f t="shared" si="5"/>
        <v>-1.2228348645296709</v>
      </c>
      <c r="W35" s="41">
        <f t="shared" si="6"/>
        <v>-79.353108337421205</v>
      </c>
      <c r="AB35" s="44">
        <f>IF('Quiz 1 Grades'!$P27="Graded",'Quiz 1 Grades'!$L27,"")</f>
        <v>46</v>
      </c>
      <c r="AC35" s="44">
        <f>IF('Quiz 1 Grades'!$P27="Graded",'Quiz 1 Grades'!C27,"")</f>
        <v>8</v>
      </c>
      <c r="AD35" s="44">
        <f>IF('Quiz 1 Grades'!$P27="Graded",'Quiz 1 Grades'!D27,"")</f>
        <v>15</v>
      </c>
      <c r="AE35" s="44">
        <f>IF('Quiz 1 Grades'!$P27="Graded",'Quiz 1 Grades'!E27,"")</f>
        <v>4</v>
      </c>
      <c r="AF35" s="44">
        <f>IF('Quiz 1 Grades'!$P27="Graded",'Quiz 1 Grades'!F27,"")</f>
        <v>4</v>
      </c>
      <c r="AG35" s="44">
        <f>IF('Quiz 1 Grades'!$P27="Graded",'Quiz 1 Grades'!H27,"")</f>
        <v>5</v>
      </c>
      <c r="AH35" s="44">
        <f>IF('Quiz 1 Grades'!$P27="Graded",'Quiz 1 Grades'!I27,"")</f>
        <v>5</v>
      </c>
      <c r="AI35" s="44">
        <f>IF('Quiz 1 Grades'!$P27="Graded",'Quiz 1 Grades'!J27,"")</f>
        <v>5</v>
      </c>
      <c r="AJ35" s="44">
        <f t="shared" si="7"/>
        <v>38</v>
      </c>
      <c r="AK35" s="44">
        <f t="shared" si="8"/>
        <v>31</v>
      </c>
      <c r="AL35" s="44">
        <f t="shared" si="9"/>
        <v>42</v>
      </c>
      <c r="AM35" s="44">
        <f t="shared" si="10"/>
        <v>42</v>
      </c>
      <c r="AN35" s="44">
        <f t="shared" si="11"/>
        <v>41</v>
      </c>
      <c r="AO35" s="44">
        <f t="shared" si="12"/>
        <v>41</v>
      </c>
      <c r="AP35" s="44">
        <f t="shared" si="13"/>
        <v>41</v>
      </c>
    </row>
    <row r="36" spans="1:42" x14ac:dyDescent="0.3">
      <c r="P36" s="40">
        <v>22</v>
      </c>
      <c r="Q36" s="40">
        <f t="shared" si="0"/>
        <v>38</v>
      </c>
      <c r="R36" s="41">
        <f t="shared" si="1"/>
        <v>0.43034825870646765</v>
      </c>
      <c r="S36" s="41">
        <f t="shared" si="2"/>
        <v>-0.17548759484244125</v>
      </c>
      <c r="T36" s="41">
        <f t="shared" si="3"/>
        <v>36.60109466217294</v>
      </c>
      <c r="U36" s="41">
        <f t="shared" si="4"/>
        <v>-2.4944053420762433E-2</v>
      </c>
      <c r="V36" s="41">
        <f t="shared" si="5"/>
        <v>-0.94787402998897241</v>
      </c>
      <c r="W36" s="41">
        <f t="shared" si="6"/>
        <v>-77.740586582817528</v>
      </c>
      <c r="Y36" s="51" t="s">
        <v>355</v>
      </c>
      <c r="AB36" s="44">
        <f>IF('Quiz 1 Grades'!$P28="Graded",'Quiz 1 Grades'!$L28,"")</f>
        <v>46</v>
      </c>
      <c r="AC36" s="44">
        <f>IF('Quiz 1 Grades'!$P28="Graded",'Quiz 1 Grades'!C28,"")</f>
        <v>8</v>
      </c>
      <c r="AD36" s="44">
        <f>IF('Quiz 1 Grades'!$P28="Graded",'Quiz 1 Grades'!D28,"")</f>
        <v>15</v>
      </c>
      <c r="AE36" s="44">
        <f>IF('Quiz 1 Grades'!$P28="Graded",'Quiz 1 Grades'!E28,"")</f>
        <v>4</v>
      </c>
      <c r="AF36" s="44">
        <f>IF('Quiz 1 Grades'!$P28="Graded",'Quiz 1 Grades'!F28,"")</f>
        <v>4</v>
      </c>
      <c r="AG36" s="44">
        <f>IF('Quiz 1 Grades'!$P28="Graded",'Quiz 1 Grades'!H28,"")</f>
        <v>5</v>
      </c>
      <c r="AH36" s="44">
        <f>IF('Quiz 1 Grades'!$P28="Graded",'Quiz 1 Grades'!I28,"")</f>
        <v>5</v>
      </c>
      <c r="AI36" s="44">
        <f>IF('Quiz 1 Grades'!$P28="Graded",'Quiz 1 Grades'!J28,"")</f>
        <v>5</v>
      </c>
      <c r="AJ36" s="44">
        <f t="shared" si="7"/>
        <v>38</v>
      </c>
      <c r="AK36" s="44">
        <f t="shared" si="8"/>
        <v>31</v>
      </c>
      <c r="AL36" s="44">
        <f t="shared" si="9"/>
        <v>42</v>
      </c>
      <c r="AM36" s="44">
        <f t="shared" si="10"/>
        <v>42</v>
      </c>
      <c r="AN36" s="44">
        <f t="shared" si="11"/>
        <v>41</v>
      </c>
      <c r="AO36" s="44">
        <f t="shared" si="12"/>
        <v>41</v>
      </c>
      <c r="AP36" s="44">
        <f t="shared" si="13"/>
        <v>41</v>
      </c>
    </row>
    <row r="37" spans="1:42" ht="22.05" customHeight="1" x14ac:dyDescent="0.3">
      <c r="A37" s="69" t="s">
        <v>356</v>
      </c>
      <c r="B37" s="62"/>
      <c r="C37" s="62"/>
      <c r="D37" s="62"/>
      <c r="E37" s="62"/>
      <c r="F37" s="62"/>
      <c r="G37" s="62"/>
      <c r="P37" s="40">
        <v>23</v>
      </c>
      <c r="Q37" s="40">
        <f t="shared" si="0"/>
        <v>39</v>
      </c>
      <c r="R37" s="41">
        <f t="shared" si="1"/>
        <v>0.45024875621890548</v>
      </c>
      <c r="S37" s="41">
        <f t="shared" si="2"/>
        <v>-0.12503288968730167</v>
      </c>
      <c r="T37" s="41">
        <f t="shared" si="3"/>
        <v>37.049297905572885</v>
      </c>
      <c r="U37" s="41">
        <f t="shared" si="4"/>
        <v>-1.7772350703834868E-2</v>
      </c>
      <c r="V37" s="41">
        <f t="shared" si="5"/>
        <v>-0.69312167744955988</v>
      </c>
      <c r="W37" s="41">
        <f t="shared" si="6"/>
        <v>-72.108831316380801</v>
      </c>
      <c r="Y37" s="52">
        <f>MIN(Totals,MeanScore-3*SDScore)</f>
        <v>11.510161772516874</v>
      </c>
      <c r="Z37" s="52">
        <f>Y37</f>
        <v>11.510161772516874</v>
      </c>
      <c r="AB37" s="44">
        <f>IF('Quiz 1 Grades'!$P29="Graded",'Quiz 1 Grades'!$L29,"")</f>
        <v>28</v>
      </c>
      <c r="AC37" s="44">
        <f>IF('Quiz 1 Grades'!$P29="Graded",'Quiz 1 Grades'!C29,"")</f>
        <v>5</v>
      </c>
      <c r="AD37" s="44">
        <f>IF('Quiz 1 Grades'!$P29="Graded",'Quiz 1 Grades'!D29,"")</f>
        <v>10</v>
      </c>
      <c r="AE37" s="44">
        <f>IF('Quiz 1 Grades'!$P29="Graded",'Quiz 1 Grades'!E29,"")</f>
        <v>4</v>
      </c>
      <c r="AF37" s="44">
        <f>IF('Quiz 1 Grades'!$P29="Graded",'Quiz 1 Grades'!F29,"")</f>
        <v>4</v>
      </c>
      <c r="AG37" s="44">
        <f>IF('Quiz 1 Grades'!$P29="Graded",'Quiz 1 Grades'!H29,"")</f>
        <v>5</v>
      </c>
      <c r="AH37" s="44">
        <f>IF('Quiz 1 Grades'!$P29="Graded",'Quiz 1 Grades'!I29,"")</f>
        <v>0</v>
      </c>
      <c r="AI37" s="44">
        <f>IF('Quiz 1 Grades'!$P29="Graded",'Quiz 1 Grades'!J29,"")</f>
        <v>0</v>
      </c>
      <c r="AJ37" s="44">
        <f t="shared" si="7"/>
        <v>23</v>
      </c>
      <c r="AK37" s="44">
        <f t="shared" si="8"/>
        <v>18</v>
      </c>
      <c r="AL37" s="44">
        <f t="shared" si="9"/>
        <v>24</v>
      </c>
      <c r="AM37" s="44">
        <f t="shared" si="10"/>
        <v>24</v>
      </c>
      <c r="AN37" s="44">
        <f t="shared" si="11"/>
        <v>23</v>
      </c>
      <c r="AO37" s="44">
        <f t="shared" si="12"/>
        <v>28</v>
      </c>
      <c r="AP37" s="44">
        <f t="shared" si="13"/>
        <v>28</v>
      </c>
    </row>
    <row r="38" spans="1:42" ht="30" customHeight="1" x14ac:dyDescent="0.3">
      <c r="A38" s="8" t="s">
        <v>357</v>
      </c>
      <c r="B38" s="8" t="s">
        <v>247</v>
      </c>
      <c r="C38" s="8" t="s">
        <v>248</v>
      </c>
      <c r="D38" s="8" t="s">
        <v>358</v>
      </c>
      <c r="E38" s="8" t="s">
        <v>314</v>
      </c>
      <c r="F38" s="8" t="s">
        <v>359</v>
      </c>
      <c r="G38" s="8" t="s">
        <v>360</v>
      </c>
      <c r="P38" s="40">
        <v>24</v>
      </c>
      <c r="Q38" s="40">
        <f t="shared" si="0"/>
        <v>40</v>
      </c>
      <c r="R38" s="41">
        <f t="shared" si="1"/>
        <v>0.47014925373134331</v>
      </c>
      <c r="S38" s="41">
        <f t="shared" si="2"/>
        <v>-7.4894682454517372E-2</v>
      </c>
      <c r="T38" s="41">
        <f t="shared" si="3"/>
        <v>37.494689609496128</v>
      </c>
      <c r="U38" s="41">
        <f t="shared" si="4"/>
        <v>-1.0645635446504542E-2</v>
      </c>
      <c r="V38" s="41">
        <f t="shared" si="5"/>
        <v>-0.42582541786018169</v>
      </c>
      <c r="W38" s="41">
        <f t="shared" si="6"/>
        <v>-71.586147777566808</v>
      </c>
      <c r="Y38" s="52">
        <f>MAX(MaxScore,MeanScore+3*SDScore)</f>
        <v>64.809838227483112</v>
      </c>
      <c r="Z38" s="52">
        <f>Y38</f>
        <v>64.809838227483112</v>
      </c>
      <c r="AB38" s="44">
        <f>IF('Quiz 1 Grades'!$P30="Graded",'Quiz 1 Grades'!$L30,"")</f>
        <v>46</v>
      </c>
      <c r="AC38" s="44">
        <f>IF('Quiz 1 Grades'!$P30="Graded",'Quiz 1 Grades'!C30,"")</f>
        <v>8</v>
      </c>
      <c r="AD38" s="44">
        <f>IF('Quiz 1 Grades'!$P30="Graded",'Quiz 1 Grades'!D30,"")</f>
        <v>15</v>
      </c>
      <c r="AE38" s="44">
        <f>IF('Quiz 1 Grades'!$P30="Graded",'Quiz 1 Grades'!E30,"")</f>
        <v>4</v>
      </c>
      <c r="AF38" s="44">
        <f>IF('Quiz 1 Grades'!$P30="Graded",'Quiz 1 Grades'!F30,"")</f>
        <v>4</v>
      </c>
      <c r="AG38" s="44">
        <f>IF('Quiz 1 Grades'!$P30="Graded",'Quiz 1 Grades'!H30,"")</f>
        <v>5</v>
      </c>
      <c r="AH38" s="44">
        <f>IF('Quiz 1 Grades'!$P30="Graded",'Quiz 1 Grades'!I30,"")</f>
        <v>5</v>
      </c>
      <c r="AI38" s="44">
        <f>IF('Quiz 1 Grades'!$P30="Graded",'Quiz 1 Grades'!J30,"")</f>
        <v>5</v>
      </c>
      <c r="AJ38" s="44">
        <f t="shared" si="7"/>
        <v>38</v>
      </c>
      <c r="AK38" s="44">
        <f t="shared" si="8"/>
        <v>31</v>
      </c>
      <c r="AL38" s="44">
        <f t="shared" si="9"/>
        <v>42</v>
      </c>
      <c r="AM38" s="44">
        <f t="shared" si="10"/>
        <v>42</v>
      </c>
      <c r="AN38" s="44">
        <f t="shared" si="11"/>
        <v>41</v>
      </c>
      <c r="AO38" s="44">
        <f t="shared" si="12"/>
        <v>41</v>
      </c>
      <c r="AP38" s="44">
        <f t="shared" si="13"/>
        <v>41</v>
      </c>
    </row>
    <row r="39" spans="1:42" x14ac:dyDescent="0.3">
      <c r="A39" s="9" t="str">
        <f t="shared" ref="A39:A48" si="14">B39&amp;"–"&amp;C39</f>
        <v>0–5</v>
      </c>
      <c r="B39" s="9">
        <v>0</v>
      </c>
      <c r="C39" s="9">
        <f t="shared" ref="C39:C47" si="15">B39+5</f>
        <v>5</v>
      </c>
      <c r="D39" s="11">
        <f t="shared" ref="D39:D48" si="16">(B39+C39)/2</f>
        <v>2.5</v>
      </c>
      <c r="E39" s="14">
        <f t="shared" ref="E39:E47" si="17">COUNTIFS(Totals,"&gt;="&amp;B39,Totals,"&lt;"&amp;C39)</f>
        <v>0</v>
      </c>
      <c r="F39" s="11">
        <f t="shared" ref="F39:F48" si="18">IFERROR(nGraded*(NORMDIST(C39,MeanScore,SDScore,TRUE)-NORMDIST(B39,MeanScore,SDScore,TRUE)),"")</f>
        <v>4.2976909854483963E-3</v>
      </c>
      <c r="G39" s="53">
        <f t="shared" ref="G39:G48" si="19">IFERROR(E39-F39,"")</f>
        <v>-4.2976909854483963E-3</v>
      </c>
      <c r="P39" s="40">
        <v>25</v>
      </c>
      <c r="Q39" s="40">
        <f t="shared" si="0"/>
        <v>40</v>
      </c>
      <c r="R39" s="41">
        <f t="shared" si="1"/>
        <v>0.49004975124378108</v>
      </c>
      <c r="S39" s="41">
        <f t="shared" si="2"/>
        <v>-2.4944161386587227E-2</v>
      </c>
      <c r="T39" s="41">
        <f t="shared" si="3"/>
        <v>37.938414044775733</v>
      </c>
      <c r="U39" s="41">
        <f t="shared" si="4"/>
        <v>-3.5455981644844543E-3</v>
      </c>
      <c r="V39" s="41">
        <f t="shared" si="5"/>
        <v>-0.14182392657937817</v>
      </c>
      <c r="W39" s="41">
        <f t="shared" si="6"/>
        <v>-74.63236683193135</v>
      </c>
      <c r="AB39" s="44">
        <f>IF('Quiz 1 Grades'!$P31="Graded",'Quiz 1 Grades'!$L31,"")</f>
        <v>42</v>
      </c>
      <c r="AC39" s="44">
        <f>IF('Quiz 1 Grades'!$P31="Graded",'Quiz 1 Grades'!C31,"")</f>
        <v>7</v>
      </c>
      <c r="AD39" s="44">
        <f>IF('Quiz 1 Grades'!$P31="Graded",'Quiz 1 Grades'!D31,"")</f>
        <v>15</v>
      </c>
      <c r="AE39" s="44">
        <f>IF('Quiz 1 Grades'!$P31="Graded",'Quiz 1 Grades'!E31,"")</f>
        <v>5</v>
      </c>
      <c r="AF39" s="44">
        <f>IF('Quiz 1 Grades'!$P31="Graded",'Quiz 1 Grades'!F31,"")</f>
        <v>5</v>
      </c>
      <c r="AG39" s="44">
        <f>IF('Quiz 1 Grades'!$P31="Graded",'Quiz 1 Grades'!H31,"")</f>
        <v>5</v>
      </c>
      <c r="AH39" s="44">
        <f>IF('Quiz 1 Grades'!$P31="Graded",'Quiz 1 Grades'!I31,"")</f>
        <v>0</v>
      </c>
      <c r="AI39" s="44">
        <f>IF('Quiz 1 Grades'!$P31="Graded",'Quiz 1 Grades'!J31,"")</f>
        <v>5</v>
      </c>
      <c r="AJ39" s="44">
        <f t="shared" si="7"/>
        <v>35</v>
      </c>
      <c r="AK39" s="44">
        <f t="shared" si="8"/>
        <v>27</v>
      </c>
      <c r="AL39" s="44">
        <f t="shared" si="9"/>
        <v>37</v>
      </c>
      <c r="AM39" s="44">
        <f t="shared" si="10"/>
        <v>37</v>
      </c>
      <c r="AN39" s="44">
        <f t="shared" si="11"/>
        <v>37</v>
      </c>
      <c r="AO39" s="44">
        <f t="shared" si="12"/>
        <v>42</v>
      </c>
      <c r="AP39" s="44">
        <f t="shared" si="13"/>
        <v>37</v>
      </c>
    </row>
    <row r="40" spans="1:42" x14ac:dyDescent="0.3">
      <c r="A40" s="9" t="str">
        <f t="shared" si="14"/>
        <v>5–10</v>
      </c>
      <c r="B40" s="9">
        <v>5</v>
      </c>
      <c r="C40" s="9">
        <f t="shared" si="15"/>
        <v>10</v>
      </c>
      <c r="D40" s="11">
        <f t="shared" si="16"/>
        <v>7.5</v>
      </c>
      <c r="E40" s="14">
        <f t="shared" si="17"/>
        <v>0</v>
      </c>
      <c r="F40" s="11">
        <f t="shared" si="18"/>
        <v>3.337664429748604E-2</v>
      </c>
      <c r="G40" s="53">
        <f t="shared" si="19"/>
        <v>-3.337664429748604E-2</v>
      </c>
      <c r="P40" s="40">
        <v>26</v>
      </c>
      <c r="Q40" s="40">
        <f t="shared" si="0"/>
        <v>41</v>
      </c>
      <c r="R40" s="41">
        <f t="shared" si="1"/>
        <v>0.50995024875621886</v>
      </c>
      <c r="S40" s="41">
        <f t="shared" si="2"/>
        <v>2.4944161386587085E-2</v>
      </c>
      <c r="T40" s="41">
        <f t="shared" si="3"/>
        <v>38.381585955224253</v>
      </c>
      <c r="U40" s="41">
        <f t="shared" si="4"/>
        <v>3.5455981644844344E-3</v>
      </c>
      <c r="V40" s="41">
        <f t="shared" si="5"/>
        <v>0.14536952474386181</v>
      </c>
      <c r="W40" s="41">
        <f t="shared" si="6"/>
        <v>-68.428921007171724</v>
      </c>
      <c r="AB40" s="44" t="str">
        <f>IF('Quiz 1 Grades'!$P32="Graded",'Quiz 1 Grades'!$L32,"")</f>
        <v/>
      </c>
      <c r="AC40" s="44" t="str">
        <f>IF('Quiz 1 Grades'!$P32="Graded",'Quiz 1 Grades'!C32,"")</f>
        <v/>
      </c>
      <c r="AD40" s="44" t="str">
        <f>IF('Quiz 1 Grades'!$P32="Graded",'Quiz 1 Grades'!D32,"")</f>
        <v/>
      </c>
      <c r="AE40" s="44" t="str">
        <f>IF('Quiz 1 Grades'!$P32="Graded",'Quiz 1 Grades'!E32,"")</f>
        <v/>
      </c>
      <c r="AF40" s="44" t="str">
        <f>IF('Quiz 1 Grades'!$P32="Graded",'Quiz 1 Grades'!F32,"")</f>
        <v/>
      </c>
      <c r="AG40" s="44" t="str">
        <f>IF('Quiz 1 Grades'!$P32="Graded",'Quiz 1 Grades'!H32,"")</f>
        <v/>
      </c>
      <c r="AH40" s="44" t="str">
        <f>IF('Quiz 1 Grades'!$P32="Graded",'Quiz 1 Grades'!I32,"")</f>
        <v/>
      </c>
      <c r="AI40" s="44" t="str">
        <f>IF('Quiz 1 Grades'!$P32="Graded",'Quiz 1 Grades'!J32,"")</f>
        <v/>
      </c>
      <c r="AJ40" s="44" t="str">
        <f t="shared" si="7"/>
        <v/>
      </c>
      <c r="AK40" s="44" t="str">
        <f t="shared" si="8"/>
        <v/>
      </c>
      <c r="AL40" s="44" t="str">
        <f t="shared" si="9"/>
        <v/>
      </c>
      <c r="AM40" s="44" t="str">
        <f t="shared" si="10"/>
        <v/>
      </c>
      <c r="AN40" s="44" t="str">
        <f t="shared" si="11"/>
        <v/>
      </c>
      <c r="AO40" s="44" t="str">
        <f t="shared" si="12"/>
        <v/>
      </c>
      <c r="AP40" s="44" t="str">
        <f t="shared" si="13"/>
        <v/>
      </c>
    </row>
    <row r="41" spans="1:42" x14ac:dyDescent="0.3">
      <c r="A41" s="9" t="str">
        <f t="shared" si="14"/>
        <v>10–15</v>
      </c>
      <c r="B41" s="9">
        <v>10</v>
      </c>
      <c r="C41" s="9">
        <f t="shared" si="15"/>
        <v>15</v>
      </c>
      <c r="D41" s="11">
        <f t="shared" si="16"/>
        <v>12.5</v>
      </c>
      <c r="E41" s="14">
        <f t="shared" si="17"/>
        <v>0</v>
      </c>
      <c r="F41" s="11">
        <f t="shared" si="18"/>
        <v>0.19014186163854233</v>
      </c>
      <c r="G41" s="53">
        <f t="shared" si="19"/>
        <v>-0.19014186163854233</v>
      </c>
      <c r="P41" s="40">
        <v>27</v>
      </c>
      <c r="Q41" s="40">
        <f t="shared" si="0"/>
        <v>41</v>
      </c>
      <c r="R41" s="41">
        <f t="shared" si="1"/>
        <v>0.52985074626865669</v>
      </c>
      <c r="S41" s="41">
        <f t="shared" si="2"/>
        <v>7.4894682454517372E-2</v>
      </c>
      <c r="T41" s="41">
        <f t="shared" si="3"/>
        <v>38.825310390503866</v>
      </c>
      <c r="U41" s="41">
        <f t="shared" si="4"/>
        <v>1.0645635446504542E-2</v>
      </c>
      <c r="V41" s="41">
        <f t="shared" si="5"/>
        <v>0.43647105330668623</v>
      </c>
      <c r="W41" s="41">
        <f t="shared" si="6"/>
        <v>-71.112408105492179</v>
      </c>
      <c r="AB41" s="44">
        <f>IF('Quiz 1 Grades'!$P33="Graded",'Quiz 1 Grades'!$L33,"")</f>
        <v>27</v>
      </c>
      <c r="AC41" s="44">
        <f>IF('Quiz 1 Grades'!$P33="Graded",'Quiz 1 Grades'!C33,"")</f>
        <v>3</v>
      </c>
      <c r="AD41" s="44">
        <f>IF('Quiz 1 Grades'!$P33="Graded",'Quiz 1 Grades'!D33,"")</f>
        <v>6</v>
      </c>
      <c r="AE41" s="44">
        <f>IF('Quiz 1 Grades'!$P33="Graded",'Quiz 1 Grades'!E33,"")</f>
        <v>4</v>
      </c>
      <c r="AF41" s="44">
        <f>IF('Quiz 1 Grades'!$P33="Graded",'Quiz 1 Grades'!F33,"")</f>
        <v>4</v>
      </c>
      <c r="AG41" s="44">
        <f>IF('Quiz 1 Grades'!$P33="Graded",'Quiz 1 Grades'!H33,"")</f>
        <v>5</v>
      </c>
      <c r="AH41" s="44">
        <f>IF('Quiz 1 Grades'!$P33="Graded",'Quiz 1 Grades'!I33,"")</f>
        <v>0</v>
      </c>
      <c r="AI41" s="44">
        <f>IF('Quiz 1 Grades'!$P33="Graded",'Quiz 1 Grades'!J33,"")</f>
        <v>5</v>
      </c>
      <c r="AJ41" s="44">
        <f t="shared" si="7"/>
        <v>24</v>
      </c>
      <c r="AK41" s="44">
        <f t="shared" si="8"/>
        <v>21</v>
      </c>
      <c r="AL41" s="44">
        <f t="shared" si="9"/>
        <v>23</v>
      </c>
      <c r="AM41" s="44">
        <f t="shared" si="10"/>
        <v>23</v>
      </c>
      <c r="AN41" s="44">
        <f t="shared" si="11"/>
        <v>22</v>
      </c>
      <c r="AO41" s="44">
        <f t="shared" si="12"/>
        <v>27</v>
      </c>
      <c r="AP41" s="44">
        <f t="shared" si="13"/>
        <v>22</v>
      </c>
    </row>
    <row r="42" spans="1:42" x14ac:dyDescent="0.3">
      <c r="A42" s="9" t="str">
        <f t="shared" si="14"/>
        <v>15–20</v>
      </c>
      <c r="B42" s="9">
        <v>15</v>
      </c>
      <c r="C42" s="9">
        <f t="shared" si="15"/>
        <v>20</v>
      </c>
      <c r="D42" s="11">
        <f t="shared" si="16"/>
        <v>17.5</v>
      </c>
      <c r="E42" s="14">
        <f t="shared" si="17"/>
        <v>1</v>
      </c>
      <c r="F42" s="11">
        <f t="shared" si="18"/>
        <v>0.79487092615406485</v>
      </c>
      <c r="G42" s="53">
        <f t="shared" si="19"/>
        <v>0.20512907384593515</v>
      </c>
      <c r="P42" s="40">
        <v>28</v>
      </c>
      <c r="Q42" s="40">
        <f t="shared" si="0"/>
        <v>41</v>
      </c>
      <c r="R42" s="41">
        <f t="shared" si="1"/>
        <v>0.54975124378109452</v>
      </c>
      <c r="S42" s="41">
        <f t="shared" si="2"/>
        <v>0.12503288968730167</v>
      </c>
      <c r="T42" s="41">
        <f t="shared" si="3"/>
        <v>39.270702094427108</v>
      </c>
      <c r="U42" s="41">
        <f t="shared" si="4"/>
        <v>1.7772350703834868E-2</v>
      </c>
      <c r="V42" s="41">
        <f t="shared" si="5"/>
        <v>0.72866637885722962</v>
      </c>
      <c r="W42" s="41">
        <f t="shared" si="6"/>
        <v>-68.245693067500596</v>
      </c>
      <c r="AB42" s="44">
        <f>IF('Quiz 1 Grades'!$P34="Graded",'Quiz 1 Grades'!$L34,"")</f>
        <v>50</v>
      </c>
      <c r="AC42" s="44">
        <f>IF('Quiz 1 Grades'!$P34="Graded",'Quiz 1 Grades'!C34,"")</f>
        <v>10</v>
      </c>
      <c r="AD42" s="44">
        <f>IF('Quiz 1 Grades'!$P34="Graded",'Quiz 1 Grades'!D34,"")</f>
        <v>15</v>
      </c>
      <c r="AE42" s="44">
        <f>IF('Quiz 1 Grades'!$P34="Graded",'Quiz 1 Grades'!E34,"")</f>
        <v>5</v>
      </c>
      <c r="AF42" s="44">
        <f>IF('Quiz 1 Grades'!$P34="Graded",'Quiz 1 Grades'!F34,"")</f>
        <v>5</v>
      </c>
      <c r="AG42" s="44">
        <f>IF('Quiz 1 Grades'!$P34="Graded",'Quiz 1 Grades'!H34,"")</f>
        <v>5</v>
      </c>
      <c r="AH42" s="44">
        <f>IF('Quiz 1 Grades'!$P34="Graded",'Quiz 1 Grades'!I34,"")</f>
        <v>5</v>
      </c>
      <c r="AI42" s="44">
        <f>IF('Quiz 1 Grades'!$P34="Graded",'Quiz 1 Grades'!J34,"")</f>
        <v>5</v>
      </c>
      <c r="AJ42" s="44">
        <f t="shared" si="7"/>
        <v>40</v>
      </c>
      <c r="AK42" s="44">
        <f t="shared" si="8"/>
        <v>35</v>
      </c>
      <c r="AL42" s="44">
        <f t="shared" si="9"/>
        <v>45</v>
      </c>
      <c r="AM42" s="44">
        <f t="shared" si="10"/>
        <v>45</v>
      </c>
      <c r="AN42" s="44">
        <f t="shared" si="11"/>
        <v>45</v>
      </c>
      <c r="AO42" s="44">
        <f t="shared" si="12"/>
        <v>45</v>
      </c>
      <c r="AP42" s="44">
        <f t="shared" si="13"/>
        <v>45</v>
      </c>
    </row>
    <row r="43" spans="1:42" x14ac:dyDescent="0.3">
      <c r="A43" s="9" t="str">
        <f t="shared" si="14"/>
        <v>20–25</v>
      </c>
      <c r="B43" s="9">
        <v>20</v>
      </c>
      <c r="C43" s="9">
        <f t="shared" si="15"/>
        <v>25</v>
      </c>
      <c r="D43" s="11">
        <f t="shared" si="16"/>
        <v>22.5</v>
      </c>
      <c r="E43" s="14">
        <f t="shared" si="17"/>
        <v>3</v>
      </c>
      <c r="F43" s="11">
        <f t="shared" si="18"/>
        <v>2.4391456602686228</v>
      </c>
      <c r="G43" s="53">
        <f t="shared" si="19"/>
        <v>0.56085433973137722</v>
      </c>
      <c r="P43" s="40">
        <v>29</v>
      </c>
      <c r="Q43" s="40">
        <f t="shared" si="0"/>
        <v>42</v>
      </c>
      <c r="R43" s="41">
        <f t="shared" si="1"/>
        <v>0.56965174129353235</v>
      </c>
      <c r="S43" s="41">
        <f t="shared" si="2"/>
        <v>0.17548759484244125</v>
      </c>
      <c r="T43" s="41">
        <f t="shared" si="3"/>
        <v>39.718905337827053</v>
      </c>
      <c r="U43" s="41">
        <f t="shared" si="4"/>
        <v>2.4944053420762433E-2</v>
      </c>
      <c r="V43" s="41">
        <f t="shared" si="5"/>
        <v>1.0476502436720221</v>
      </c>
      <c r="W43" s="41">
        <f t="shared" si="6"/>
        <v>-61.759618068439011</v>
      </c>
      <c r="AB43" s="44">
        <f>IF('Quiz 1 Grades'!$P35="Graded",'Quiz 1 Grades'!$L35,"")</f>
        <v>36</v>
      </c>
      <c r="AC43" s="44">
        <f>IF('Quiz 1 Grades'!$P35="Graded",'Quiz 1 Grades'!C35,"")</f>
        <v>5</v>
      </c>
      <c r="AD43" s="44">
        <f>IF('Quiz 1 Grades'!$P35="Graded",'Quiz 1 Grades'!D35,"")</f>
        <v>8</v>
      </c>
      <c r="AE43" s="44">
        <f>IF('Quiz 1 Grades'!$P35="Graded",'Quiz 1 Grades'!E35,"")</f>
        <v>4</v>
      </c>
      <c r="AF43" s="44">
        <f>IF('Quiz 1 Grades'!$P35="Graded",'Quiz 1 Grades'!F35,"")</f>
        <v>4</v>
      </c>
      <c r="AG43" s="44">
        <f>IF('Quiz 1 Grades'!$P35="Graded",'Quiz 1 Grades'!H35,"")</f>
        <v>5</v>
      </c>
      <c r="AH43" s="44">
        <f>IF('Quiz 1 Grades'!$P35="Graded",'Quiz 1 Grades'!I35,"")</f>
        <v>5</v>
      </c>
      <c r="AI43" s="44">
        <f>IF('Quiz 1 Grades'!$P35="Graded",'Quiz 1 Grades'!J35,"")</f>
        <v>5</v>
      </c>
      <c r="AJ43" s="44">
        <f t="shared" si="7"/>
        <v>31</v>
      </c>
      <c r="AK43" s="44">
        <f t="shared" si="8"/>
        <v>28</v>
      </c>
      <c r="AL43" s="44">
        <f t="shared" si="9"/>
        <v>32</v>
      </c>
      <c r="AM43" s="44">
        <f t="shared" si="10"/>
        <v>32</v>
      </c>
      <c r="AN43" s="44">
        <f t="shared" si="11"/>
        <v>31</v>
      </c>
      <c r="AO43" s="44">
        <f t="shared" si="12"/>
        <v>31</v>
      </c>
      <c r="AP43" s="44">
        <f t="shared" si="13"/>
        <v>31</v>
      </c>
    </row>
    <row r="44" spans="1:42" x14ac:dyDescent="0.3">
      <c r="A44" s="9" t="str">
        <f t="shared" si="14"/>
        <v>25–30</v>
      </c>
      <c r="B44" s="9">
        <v>25</v>
      </c>
      <c r="C44" s="9">
        <f t="shared" si="15"/>
        <v>30</v>
      </c>
      <c r="D44" s="11">
        <f t="shared" si="16"/>
        <v>27.5</v>
      </c>
      <c r="E44" s="14">
        <f t="shared" si="17"/>
        <v>9</v>
      </c>
      <c r="F44" s="11">
        <f t="shared" si="18"/>
        <v>5.4956184282426639</v>
      </c>
      <c r="G44" s="53">
        <f t="shared" si="19"/>
        <v>3.5043815717573361</v>
      </c>
      <c r="P44" s="40">
        <v>30</v>
      </c>
      <c r="Q44" s="40">
        <f t="shared" si="0"/>
        <v>43</v>
      </c>
      <c r="R44" s="41">
        <f t="shared" si="1"/>
        <v>0.58955223880597019</v>
      </c>
      <c r="S44" s="41">
        <f t="shared" si="2"/>
        <v>0.22639332071192103</v>
      </c>
      <c r="T44" s="41">
        <f t="shared" si="3"/>
        <v>40.171115124251799</v>
      </c>
      <c r="U44" s="41">
        <f t="shared" si="4"/>
        <v>3.2179864856043981E-2</v>
      </c>
      <c r="V44" s="41">
        <f t="shared" si="5"/>
        <v>1.3837341888098913</v>
      </c>
      <c r="W44" s="41">
        <f t="shared" si="6"/>
        <v>-60.504824756998232</v>
      </c>
      <c r="AB44" s="44">
        <f>IF('Quiz 1 Grades'!$P36="Graded",'Quiz 1 Grades'!$L36,"")</f>
        <v>39</v>
      </c>
      <c r="AC44" s="44">
        <f>IF('Quiz 1 Grades'!$P36="Graded",'Quiz 1 Grades'!C36,"")</f>
        <v>8</v>
      </c>
      <c r="AD44" s="44">
        <f>IF('Quiz 1 Grades'!$P36="Graded",'Quiz 1 Grades'!D36,"")</f>
        <v>8</v>
      </c>
      <c r="AE44" s="44">
        <f>IF('Quiz 1 Grades'!$P36="Graded",'Quiz 1 Grades'!E36,"")</f>
        <v>4</v>
      </c>
      <c r="AF44" s="44">
        <f>IF('Quiz 1 Grades'!$P36="Graded",'Quiz 1 Grades'!F36,"")</f>
        <v>4</v>
      </c>
      <c r="AG44" s="44">
        <f>IF('Quiz 1 Grades'!$P36="Graded",'Quiz 1 Grades'!H36,"")</f>
        <v>5</v>
      </c>
      <c r="AH44" s="44">
        <f>IF('Quiz 1 Grades'!$P36="Graded",'Quiz 1 Grades'!I36,"")</f>
        <v>5</v>
      </c>
      <c r="AI44" s="44">
        <f>IF('Quiz 1 Grades'!$P36="Graded",'Quiz 1 Grades'!J36,"")</f>
        <v>5</v>
      </c>
      <c r="AJ44" s="44">
        <f t="shared" si="7"/>
        <v>31</v>
      </c>
      <c r="AK44" s="44">
        <f t="shared" si="8"/>
        <v>31</v>
      </c>
      <c r="AL44" s="44">
        <f t="shared" si="9"/>
        <v>35</v>
      </c>
      <c r="AM44" s="44">
        <f t="shared" si="10"/>
        <v>35</v>
      </c>
      <c r="AN44" s="44">
        <f t="shared" si="11"/>
        <v>34</v>
      </c>
      <c r="AO44" s="44">
        <f t="shared" si="12"/>
        <v>34</v>
      </c>
      <c r="AP44" s="44">
        <f t="shared" si="13"/>
        <v>34</v>
      </c>
    </row>
    <row r="45" spans="1:42" x14ac:dyDescent="0.3">
      <c r="A45" s="9" t="str">
        <f t="shared" si="14"/>
        <v>30–35</v>
      </c>
      <c r="B45" s="9">
        <v>30</v>
      </c>
      <c r="C45" s="9">
        <f t="shared" si="15"/>
        <v>35</v>
      </c>
      <c r="D45" s="11">
        <f t="shared" si="16"/>
        <v>32.5</v>
      </c>
      <c r="E45" s="14">
        <f t="shared" si="17"/>
        <v>2</v>
      </c>
      <c r="F45" s="11">
        <f t="shared" si="18"/>
        <v>9.0932861003177177</v>
      </c>
      <c r="G45" s="53">
        <f t="shared" si="19"/>
        <v>-7.0932861003177177</v>
      </c>
      <c r="P45" s="40">
        <v>31</v>
      </c>
      <c r="Q45" s="40">
        <f t="shared" si="0"/>
        <v>43</v>
      </c>
      <c r="R45" s="41">
        <f t="shared" si="1"/>
        <v>0.60945273631840791</v>
      </c>
      <c r="S45" s="41">
        <f t="shared" si="2"/>
        <v>0.27789296115186507</v>
      </c>
      <c r="T45" s="41">
        <f t="shared" si="3"/>
        <v>40.628600819751149</v>
      </c>
      <c r="U45" s="41">
        <f t="shared" si="4"/>
        <v>3.9500096143260541E-2</v>
      </c>
      <c r="V45" s="41">
        <f t="shared" si="5"/>
        <v>1.6985041341602032</v>
      </c>
      <c r="W45" s="41">
        <f t="shared" si="6"/>
        <v>-62.555835765710036</v>
      </c>
      <c r="AB45" s="44">
        <f>IF('Quiz 1 Grades'!$P37="Graded",'Quiz 1 Grades'!$L37,"")</f>
        <v>50</v>
      </c>
      <c r="AC45" s="44">
        <f>IF('Quiz 1 Grades'!$P37="Graded",'Quiz 1 Grades'!C37,"")</f>
        <v>10</v>
      </c>
      <c r="AD45" s="44">
        <f>IF('Quiz 1 Grades'!$P37="Graded",'Quiz 1 Grades'!D37,"")</f>
        <v>15</v>
      </c>
      <c r="AE45" s="44">
        <f>IF('Quiz 1 Grades'!$P37="Graded",'Quiz 1 Grades'!E37,"")</f>
        <v>5</v>
      </c>
      <c r="AF45" s="44">
        <f>IF('Quiz 1 Grades'!$P37="Graded",'Quiz 1 Grades'!F37,"")</f>
        <v>5</v>
      </c>
      <c r="AG45" s="44">
        <f>IF('Quiz 1 Grades'!$P37="Graded",'Quiz 1 Grades'!H37,"")</f>
        <v>5</v>
      </c>
      <c r="AH45" s="44">
        <f>IF('Quiz 1 Grades'!$P37="Graded",'Quiz 1 Grades'!I37,"")</f>
        <v>5</v>
      </c>
      <c r="AI45" s="44">
        <f>IF('Quiz 1 Grades'!$P37="Graded",'Quiz 1 Grades'!J37,"")</f>
        <v>5</v>
      </c>
      <c r="AJ45" s="44">
        <f t="shared" si="7"/>
        <v>40</v>
      </c>
      <c r="AK45" s="44">
        <f t="shared" si="8"/>
        <v>35</v>
      </c>
      <c r="AL45" s="44">
        <f t="shared" si="9"/>
        <v>45</v>
      </c>
      <c r="AM45" s="44">
        <f t="shared" si="10"/>
        <v>45</v>
      </c>
      <c r="AN45" s="44">
        <f t="shared" si="11"/>
        <v>45</v>
      </c>
      <c r="AO45" s="44">
        <f t="shared" si="12"/>
        <v>45</v>
      </c>
      <c r="AP45" s="44">
        <f t="shared" si="13"/>
        <v>45</v>
      </c>
    </row>
    <row r="46" spans="1:42" x14ac:dyDescent="0.3">
      <c r="A46" s="9" t="str">
        <f t="shared" si="14"/>
        <v>35–40</v>
      </c>
      <c r="B46" s="9">
        <v>35</v>
      </c>
      <c r="C46" s="9">
        <f t="shared" si="15"/>
        <v>40</v>
      </c>
      <c r="D46" s="11">
        <f t="shared" si="16"/>
        <v>37.5</v>
      </c>
      <c r="E46" s="14">
        <f t="shared" si="17"/>
        <v>8</v>
      </c>
      <c r="F46" s="11">
        <f t="shared" si="18"/>
        <v>11.051132940054329</v>
      </c>
      <c r="G46" s="53">
        <f t="shared" si="19"/>
        <v>-3.0511329400543286</v>
      </c>
      <c r="P46" s="40">
        <v>32</v>
      </c>
      <c r="Q46" s="40">
        <f t="shared" si="0"/>
        <v>43</v>
      </c>
      <c r="R46" s="41">
        <f t="shared" si="1"/>
        <v>0.62935323383084574</v>
      </c>
      <c r="S46" s="41">
        <f t="shared" si="2"/>
        <v>0.33014085768098994</v>
      </c>
      <c r="T46" s="41">
        <f t="shared" si="3"/>
        <v>41.092733483160302</v>
      </c>
      <c r="U46" s="41">
        <f t="shared" si="4"/>
        <v>4.6926685602846463E-2</v>
      </c>
      <c r="V46" s="41">
        <f t="shared" si="5"/>
        <v>2.0178474809223981</v>
      </c>
      <c r="W46" s="41">
        <f t="shared" si="6"/>
        <v>-64.60684677442184</v>
      </c>
      <c r="AB46" s="44">
        <f>IF('Quiz 1 Grades'!$P38="Graded",'Quiz 1 Grades'!$L38,"")</f>
        <v>23</v>
      </c>
      <c r="AC46" s="44">
        <f>IF('Quiz 1 Grades'!$P38="Graded",'Quiz 1 Grades'!C38,"")</f>
        <v>0</v>
      </c>
      <c r="AD46" s="44">
        <f>IF('Quiz 1 Grades'!$P38="Graded",'Quiz 1 Grades'!D38,"")</f>
        <v>10</v>
      </c>
      <c r="AE46" s="44">
        <f>IF('Quiz 1 Grades'!$P38="Graded",'Quiz 1 Grades'!E38,"")</f>
        <v>4</v>
      </c>
      <c r="AF46" s="44">
        <f>IF('Quiz 1 Grades'!$P38="Graded",'Quiz 1 Grades'!F38,"")</f>
        <v>4</v>
      </c>
      <c r="AG46" s="44">
        <f>IF('Quiz 1 Grades'!$P38="Graded",'Quiz 1 Grades'!H38,"")</f>
        <v>0</v>
      </c>
      <c r="AH46" s="44">
        <f>IF('Quiz 1 Grades'!$P38="Graded",'Quiz 1 Grades'!I38,"")</f>
        <v>5</v>
      </c>
      <c r="AI46" s="44">
        <f>IF('Quiz 1 Grades'!$P38="Graded",'Quiz 1 Grades'!J38,"")</f>
        <v>0</v>
      </c>
      <c r="AJ46" s="44">
        <f t="shared" si="7"/>
        <v>23</v>
      </c>
      <c r="AK46" s="44">
        <f t="shared" si="8"/>
        <v>13</v>
      </c>
      <c r="AL46" s="44">
        <f t="shared" si="9"/>
        <v>19</v>
      </c>
      <c r="AM46" s="44">
        <f t="shared" si="10"/>
        <v>19</v>
      </c>
      <c r="AN46" s="44">
        <f t="shared" si="11"/>
        <v>23</v>
      </c>
      <c r="AO46" s="44">
        <f t="shared" si="12"/>
        <v>18</v>
      </c>
      <c r="AP46" s="44">
        <f t="shared" si="13"/>
        <v>23</v>
      </c>
    </row>
    <row r="47" spans="1:42" x14ac:dyDescent="0.3">
      <c r="A47" s="9" t="str">
        <f t="shared" si="14"/>
        <v>40–45</v>
      </c>
      <c r="B47" s="9">
        <v>40</v>
      </c>
      <c r="C47" s="9">
        <f t="shared" si="15"/>
        <v>45</v>
      </c>
      <c r="D47" s="11">
        <f t="shared" si="16"/>
        <v>42.5</v>
      </c>
      <c r="E47" s="14">
        <f t="shared" si="17"/>
        <v>14</v>
      </c>
      <c r="F47" s="11">
        <f t="shared" si="18"/>
        <v>9.8649881767149221</v>
      </c>
      <c r="G47" s="53">
        <f t="shared" si="19"/>
        <v>4.1350118232850779</v>
      </c>
      <c r="P47" s="40">
        <v>33</v>
      </c>
      <c r="Q47" s="40">
        <f t="shared" ref="Q47:Q66" si="20">IF(P47&lt;=nGraded,SMALL(Totals,P47),NA())</f>
        <v>43</v>
      </c>
      <c r="R47" s="41">
        <f t="shared" ref="R47:R66" si="21">IF(P47&lt;=nGraded,(P47-0.375)/(nGraded+0.25),"")</f>
        <v>0.64925373134328357</v>
      </c>
      <c r="S47" s="41">
        <f t="shared" ref="S47:S66" si="22">IF(P47&lt;=nGraded,NORMSINV(R47),"")</f>
        <v>0.38330647709930993</v>
      </c>
      <c r="T47" s="41">
        <f t="shared" ref="T47:T66" si="23">IF(P47&lt;=nGraded,MeanScore+SDScore*S47,NA())</f>
        <v>41.565018535414353</v>
      </c>
      <c r="U47" s="41">
        <f t="shared" ref="U47:U66" si="24">IFERROR(IF(P47&gt;nGraded,"",IF(P47=nGraded,$Z$19,IF(P47=nGraded-1,$Z$20,IF(P47=1,-$Z$19,IF(P47=2,-$Z$20,S47/SQRT($Z$21)))))),"")</f>
        <v>5.4483721483981964E-2</v>
      </c>
      <c r="V47" s="41">
        <f t="shared" ref="V47:V66" si="25">IFERROR(IF(P47&lt;=nGraded,U47*Q47,""),"")</f>
        <v>2.3428000238112245</v>
      </c>
      <c r="W47" s="41">
        <f t="shared" ref="W47:W66" si="26">IFERROR(IF(P47&lt;=nGraded,(2*P47-1)*(LN(NORMDIST(Q47,MeanScore,SDScore,TRUE))+LN(1-NORMDIST(LARGE(Totals,P47),MeanScore,SDScore,TRUE))),""),"")</f>
        <v>-61.16039865738091</v>
      </c>
      <c r="AB47" s="44">
        <f>IF('Quiz 1 Grades'!$P39="Graded",'Quiz 1 Grades'!$L39,"")</f>
        <v>35</v>
      </c>
      <c r="AC47" s="44">
        <f>IF('Quiz 1 Grades'!$P39="Graded",'Quiz 1 Grades'!C39,"")</f>
        <v>5</v>
      </c>
      <c r="AD47" s="44">
        <f>IF('Quiz 1 Grades'!$P39="Graded",'Quiz 1 Grades'!D39,"")</f>
        <v>12</v>
      </c>
      <c r="AE47" s="44">
        <f>IF('Quiz 1 Grades'!$P39="Graded",'Quiz 1 Grades'!E39,"")</f>
        <v>4</v>
      </c>
      <c r="AF47" s="44">
        <f>IF('Quiz 1 Grades'!$P39="Graded",'Quiz 1 Grades'!F39,"")</f>
        <v>4</v>
      </c>
      <c r="AG47" s="44">
        <f>IF('Quiz 1 Grades'!$P39="Graded",'Quiz 1 Grades'!H39,"")</f>
        <v>0</v>
      </c>
      <c r="AH47" s="44">
        <f>IF('Quiz 1 Grades'!$P39="Graded",'Quiz 1 Grades'!I39,"")</f>
        <v>5</v>
      </c>
      <c r="AI47" s="44">
        <f>IF('Quiz 1 Grades'!$P39="Graded",'Quiz 1 Grades'!J39,"")</f>
        <v>5</v>
      </c>
      <c r="AJ47" s="44">
        <f t="shared" ref="AJ47:AJ66" si="27">IF(ISNUMBER(AB47),AB47-AC47,"")</f>
        <v>30</v>
      </c>
      <c r="AK47" s="44">
        <f t="shared" ref="AK47:AK66" si="28">IF(ISNUMBER(AB47),AB47-AD47,"")</f>
        <v>23</v>
      </c>
      <c r="AL47" s="44">
        <f t="shared" ref="AL47:AL66" si="29">IF(ISNUMBER(AB47),AB47-AE47,"")</f>
        <v>31</v>
      </c>
      <c r="AM47" s="44">
        <f t="shared" ref="AM47:AM66" si="30">IF(ISNUMBER(AB47),AB47-AF47,"")</f>
        <v>31</v>
      </c>
      <c r="AN47" s="44">
        <f t="shared" ref="AN47:AN66" si="31">IF(ISNUMBER(AB47),AB47-AG47,"")</f>
        <v>35</v>
      </c>
      <c r="AO47" s="44">
        <f t="shared" ref="AO47:AO66" si="32">IF(ISNUMBER(AB47),AB47-AH47,"")</f>
        <v>30</v>
      </c>
      <c r="AP47" s="44">
        <f t="shared" ref="AP47:AP66" si="33">IF(ISNUMBER(AB47),AB47-AI47,"")</f>
        <v>30</v>
      </c>
    </row>
    <row r="48" spans="1:42" x14ac:dyDescent="0.3">
      <c r="A48" s="9" t="str">
        <f t="shared" si="14"/>
        <v>45–50</v>
      </c>
      <c r="B48" s="9">
        <v>45</v>
      </c>
      <c r="C48" s="9">
        <f>MaxScore</f>
        <v>50</v>
      </c>
      <c r="D48" s="11">
        <f t="shared" si="16"/>
        <v>47.5</v>
      </c>
      <c r="E48" s="14">
        <f>COUNTIFS(Totals,"&gt;="&amp;B48,Totals,"&lt;="&amp;C48)</f>
        <v>13</v>
      </c>
      <c r="F48" s="11">
        <f t="shared" si="18"/>
        <v>6.4681074559739873</v>
      </c>
      <c r="G48" s="53">
        <f t="shared" si="19"/>
        <v>6.5318925440260127</v>
      </c>
      <c r="P48" s="40">
        <v>34</v>
      </c>
      <c r="Q48" s="40">
        <f t="shared" si="20"/>
        <v>43</v>
      </c>
      <c r="R48" s="41">
        <f t="shared" si="21"/>
        <v>0.6691542288557214</v>
      </c>
      <c r="S48" s="41">
        <f t="shared" si="22"/>
        <v>0.43757893748896998</v>
      </c>
      <c r="T48" s="41">
        <f t="shared" si="23"/>
        <v>42.047135965278329</v>
      </c>
      <c r="U48" s="41">
        <f t="shared" si="24"/>
        <v>6.2198085296713911E-2</v>
      </c>
      <c r="V48" s="41">
        <f t="shared" si="25"/>
        <v>2.6745176677586984</v>
      </c>
      <c r="W48" s="41">
        <f t="shared" si="26"/>
        <v>-57.891061099138753</v>
      </c>
      <c r="AB48" s="44">
        <f>IF('Quiz 1 Grades'!$P40="Graded",'Quiz 1 Grades'!$L40,"")</f>
        <v>46</v>
      </c>
      <c r="AC48" s="44">
        <f>IF('Quiz 1 Grades'!$P40="Graded",'Quiz 1 Grades'!C40,"")</f>
        <v>8</v>
      </c>
      <c r="AD48" s="44">
        <f>IF('Quiz 1 Grades'!$P40="Graded",'Quiz 1 Grades'!D40,"")</f>
        <v>15</v>
      </c>
      <c r="AE48" s="44">
        <f>IF('Quiz 1 Grades'!$P40="Graded",'Quiz 1 Grades'!E40,"")</f>
        <v>4</v>
      </c>
      <c r="AF48" s="44">
        <f>IF('Quiz 1 Grades'!$P40="Graded",'Quiz 1 Grades'!F40,"")</f>
        <v>4</v>
      </c>
      <c r="AG48" s="44">
        <f>IF('Quiz 1 Grades'!$P40="Graded",'Quiz 1 Grades'!H40,"")</f>
        <v>5</v>
      </c>
      <c r="AH48" s="44">
        <f>IF('Quiz 1 Grades'!$P40="Graded",'Quiz 1 Grades'!I40,"")</f>
        <v>5</v>
      </c>
      <c r="AI48" s="44">
        <f>IF('Quiz 1 Grades'!$P40="Graded",'Quiz 1 Grades'!J40,"")</f>
        <v>5</v>
      </c>
      <c r="AJ48" s="44">
        <f t="shared" si="27"/>
        <v>38</v>
      </c>
      <c r="AK48" s="44">
        <f t="shared" si="28"/>
        <v>31</v>
      </c>
      <c r="AL48" s="44">
        <f t="shared" si="29"/>
        <v>42</v>
      </c>
      <c r="AM48" s="44">
        <f t="shared" si="30"/>
        <v>42</v>
      </c>
      <c r="AN48" s="44">
        <f t="shared" si="31"/>
        <v>41</v>
      </c>
      <c r="AO48" s="44">
        <f t="shared" si="32"/>
        <v>41</v>
      </c>
      <c r="AP48" s="44">
        <f t="shared" si="33"/>
        <v>41</v>
      </c>
    </row>
    <row r="49" spans="1:42" x14ac:dyDescent="0.3">
      <c r="A49" s="1" t="s">
        <v>361</v>
      </c>
      <c r="E49" s="14">
        <f>SUM(E39:E48)</f>
        <v>50</v>
      </c>
      <c r="F49" s="34">
        <f>SUM(F39:F48)</f>
        <v>45.434965884647788</v>
      </c>
      <c r="P49" s="40">
        <v>35</v>
      </c>
      <c r="Q49" s="40">
        <f t="shared" si="20"/>
        <v>44</v>
      </c>
      <c r="R49" s="41">
        <f t="shared" si="21"/>
        <v>0.68905472636815923</v>
      </c>
      <c r="S49" s="41">
        <f t="shared" si="22"/>
        <v>0.49317272624229946</v>
      </c>
      <c r="T49" s="41">
        <f t="shared" si="23"/>
        <v>42.540991124188032</v>
      </c>
      <c r="U49" s="41">
        <f t="shared" si="24"/>
        <v>7.0100264580501406E-2</v>
      </c>
      <c r="V49" s="41">
        <f t="shared" si="25"/>
        <v>3.0844116415420619</v>
      </c>
      <c r="W49" s="41">
        <f t="shared" si="26"/>
        <v>-51.258190627662728</v>
      </c>
      <c r="AB49" s="44">
        <f>IF('Quiz 1 Grades'!$P41="Graded",'Quiz 1 Grades'!$L41,"")</f>
        <v>41</v>
      </c>
      <c r="AC49" s="44">
        <f>IF('Quiz 1 Grades'!$P41="Graded",'Quiz 1 Grades'!C41,"")</f>
        <v>8</v>
      </c>
      <c r="AD49" s="44">
        <f>IF('Quiz 1 Grades'!$P41="Graded",'Quiz 1 Grades'!D41,"")</f>
        <v>15</v>
      </c>
      <c r="AE49" s="44">
        <f>IF('Quiz 1 Grades'!$P41="Graded",'Quiz 1 Grades'!E41,"")</f>
        <v>4</v>
      </c>
      <c r="AF49" s="44">
        <f>IF('Quiz 1 Grades'!$P41="Graded",'Quiz 1 Grades'!F41,"")</f>
        <v>4</v>
      </c>
      <c r="AG49" s="44">
        <f>IF('Quiz 1 Grades'!$P41="Graded",'Quiz 1 Grades'!H41,"")</f>
        <v>5</v>
      </c>
      <c r="AH49" s="44">
        <f>IF('Quiz 1 Grades'!$P41="Graded",'Quiz 1 Grades'!I41,"")</f>
        <v>0</v>
      </c>
      <c r="AI49" s="44">
        <f>IF('Quiz 1 Grades'!$P41="Graded",'Quiz 1 Grades'!J41,"")</f>
        <v>5</v>
      </c>
      <c r="AJ49" s="44">
        <f t="shared" si="27"/>
        <v>33</v>
      </c>
      <c r="AK49" s="44">
        <f t="shared" si="28"/>
        <v>26</v>
      </c>
      <c r="AL49" s="44">
        <f t="shared" si="29"/>
        <v>37</v>
      </c>
      <c r="AM49" s="44">
        <f t="shared" si="30"/>
        <v>37</v>
      </c>
      <c r="AN49" s="44">
        <f t="shared" si="31"/>
        <v>36</v>
      </c>
      <c r="AO49" s="44">
        <f t="shared" si="32"/>
        <v>41</v>
      </c>
      <c r="AP49" s="44">
        <f t="shared" si="33"/>
        <v>36</v>
      </c>
    </row>
    <row r="50" spans="1:42" x14ac:dyDescent="0.3">
      <c r="A50" s="54" t="s">
        <v>362</v>
      </c>
      <c r="F50" s="11">
        <f>IFERROR(nGraded*NORMDIST(0,MeanScore,SDScore,TRUE),"")</f>
        <v>4.3533603278698876E-4</v>
      </c>
      <c r="P50" s="40">
        <v>36</v>
      </c>
      <c r="Q50" s="40">
        <f t="shared" si="20"/>
        <v>44</v>
      </c>
      <c r="R50" s="41">
        <f t="shared" si="21"/>
        <v>0.70895522388059706</v>
      </c>
      <c r="S50" s="41">
        <f t="shared" si="22"/>
        <v>0.55033510225978477</v>
      </c>
      <c r="T50" s="41">
        <f t="shared" si="23"/>
        <v>43.048780482042879</v>
      </c>
      <c r="U50" s="41">
        <f t="shared" si="24"/>
        <v>7.8225405063041209E-2</v>
      </c>
      <c r="V50" s="41">
        <f t="shared" si="25"/>
        <v>3.4419178227738132</v>
      </c>
      <c r="W50" s="41">
        <f t="shared" si="26"/>
        <v>-44.333335386373747</v>
      </c>
      <c r="AB50" s="44">
        <f>IF('Quiz 1 Grades'!$P42="Graded",'Quiz 1 Grades'!$L42,"")</f>
        <v>16</v>
      </c>
      <c r="AC50" s="44">
        <f>IF('Quiz 1 Grades'!$P42="Graded",'Quiz 1 Grades'!C42,"")</f>
        <v>0</v>
      </c>
      <c r="AD50" s="44">
        <f>IF('Quiz 1 Grades'!$P42="Graded",'Quiz 1 Grades'!D42,"")</f>
        <v>8</v>
      </c>
      <c r="AE50" s="44">
        <f>IF('Quiz 1 Grades'!$P42="Graded",'Quiz 1 Grades'!E42,"")</f>
        <v>1</v>
      </c>
      <c r="AF50" s="44">
        <f>IF('Quiz 1 Grades'!$P42="Graded",'Quiz 1 Grades'!F42,"")</f>
        <v>2</v>
      </c>
      <c r="AG50" s="44">
        <f>IF('Quiz 1 Grades'!$P42="Graded",'Quiz 1 Grades'!H42,"")</f>
        <v>0</v>
      </c>
      <c r="AH50" s="44">
        <f>IF('Quiz 1 Grades'!$P42="Graded",'Quiz 1 Grades'!I42,"")</f>
        <v>0</v>
      </c>
      <c r="AI50" s="44">
        <f>IF('Quiz 1 Grades'!$P42="Graded",'Quiz 1 Grades'!J42,"")</f>
        <v>5</v>
      </c>
      <c r="AJ50" s="44">
        <f t="shared" si="27"/>
        <v>16</v>
      </c>
      <c r="AK50" s="44">
        <f t="shared" si="28"/>
        <v>8</v>
      </c>
      <c r="AL50" s="44">
        <f t="shared" si="29"/>
        <v>15</v>
      </c>
      <c r="AM50" s="44">
        <f t="shared" si="30"/>
        <v>14</v>
      </c>
      <c r="AN50" s="44">
        <f t="shared" si="31"/>
        <v>16</v>
      </c>
      <c r="AO50" s="44">
        <f t="shared" si="32"/>
        <v>16</v>
      </c>
      <c r="AP50" s="44">
        <f t="shared" si="33"/>
        <v>11</v>
      </c>
    </row>
    <row r="51" spans="1:42" x14ac:dyDescent="0.3">
      <c r="A51" s="54" t="s">
        <v>363</v>
      </c>
      <c r="F51" s="34">
        <f>IFERROR(nGraded*(1-NORMDIST(MaxScore,MeanScore,SDScore,TRUE)),"")</f>
        <v>4.5645987793194287</v>
      </c>
      <c r="G51" s="47">
        <f>IFERROR(F51/nGraded,"")</f>
        <v>9.1291975586388574E-2</v>
      </c>
      <c r="P51" s="40">
        <v>37</v>
      </c>
      <c r="Q51" s="40">
        <f t="shared" si="20"/>
        <v>44</v>
      </c>
      <c r="R51" s="41">
        <f t="shared" si="21"/>
        <v>0.72885572139303478</v>
      </c>
      <c r="S51" s="41">
        <f t="shared" si="22"/>
        <v>0.60935590740053003</v>
      </c>
      <c r="T51" s="41">
        <f t="shared" si="23"/>
        <v>43.573078785061767</v>
      </c>
      <c r="U51" s="41">
        <f t="shared" si="24"/>
        <v>8.6614705273628551E-2</v>
      </c>
      <c r="V51" s="41">
        <f t="shared" si="25"/>
        <v>3.8110470320396561</v>
      </c>
      <c r="W51" s="41">
        <f t="shared" si="26"/>
        <v>-41.954693674845267</v>
      </c>
      <c r="AB51" s="44">
        <f>IF('Quiz 1 Grades'!$P43="Graded",'Quiz 1 Grades'!$L43,"")</f>
        <v>50</v>
      </c>
      <c r="AC51" s="44">
        <f>IF('Quiz 1 Grades'!$P43="Graded",'Quiz 1 Grades'!C43,"")</f>
        <v>10</v>
      </c>
      <c r="AD51" s="44">
        <f>IF('Quiz 1 Grades'!$P43="Graded",'Quiz 1 Grades'!D43,"")</f>
        <v>15</v>
      </c>
      <c r="AE51" s="44">
        <f>IF('Quiz 1 Grades'!$P43="Graded",'Quiz 1 Grades'!E43,"")</f>
        <v>5</v>
      </c>
      <c r="AF51" s="44">
        <f>IF('Quiz 1 Grades'!$P43="Graded",'Quiz 1 Grades'!F43,"")</f>
        <v>5</v>
      </c>
      <c r="AG51" s="44">
        <f>IF('Quiz 1 Grades'!$P43="Graded",'Quiz 1 Grades'!H43,"")</f>
        <v>5</v>
      </c>
      <c r="AH51" s="44">
        <f>IF('Quiz 1 Grades'!$P43="Graded",'Quiz 1 Grades'!I43,"")</f>
        <v>5</v>
      </c>
      <c r="AI51" s="44">
        <f>IF('Quiz 1 Grades'!$P43="Graded",'Quiz 1 Grades'!J43,"")</f>
        <v>5</v>
      </c>
      <c r="AJ51" s="44">
        <f t="shared" si="27"/>
        <v>40</v>
      </c>
      <c r="AK51" s="44">
        <f t="shared" si="28"/>
        <v>35</v>
      </c>
      <c r="AL51" s="44">
        <f t="shared" si="29"/>
        <v>45</v>
      </c>
      <c r="AM51" s="44">
        <f t="shared" si="30"/>
        <v>45</v>
      </c>
      <c r="AN51" s="44">
        <f t="shared" si="31"/>
        <v>45</v>
      </c>
      <c r="AO51" s="44">
        <f t="shared" si="32"/>
        <v>45</v>
      </c>
      <c r="AP51" s="44">
        <f t="shared" si="33"/>
        <v>45</v>
      </c>
    </row>
    <row r="52" spans="1:42" x14ac:dyDescent="0.3">
      <c r="P52" s="40">
        <v>38</v>
      </c>
      <c r="Q52" s="40">
        <f t="shared" si="20"/>
        <v>45</v>
      </c>
      <c r="R52" s="41">
        <f t="shared" si="21"/>
        <v>0.74875621890547261</v>
      </c>
      <c r="S52" s="41">
        <f t="shared" si="22"/>
        <v>0.67058088629718193</v>
      </c>
      <c r="T52" s="41">
        <f t="shared" si="23"/>
        <v>44.116957379420711</v>
      </c>
      <c r="U52" s="41">
        <f t="shared" si="24"/>
        <v>9.5317309840374773E-2</v>
      </c>
      <c r="V52" s="41">
        <f t="shared" si="25"/>
        <v>4.2892789428168649</v>
      </c>
      <c r="W52" s="41">
        <f t="shared" si="26"/>
        <v>-30.995500839279021</v>
      </c>
      <c r="AB52" s="44">
        <f>IF('Quiz 1 Grades'!$P44="Graded",'Quiz 1 Grades'!$L44,"")</f>
        <v>45</v>
      </c>
      <c r="AC52" s="44">
        <f>IF('Quiz 1 Grades'!$P44="Graded",'Quiz 1 Grades'!C44,"")</f>
        <v>8</v>
      </c>
      <c r="AD52" s="44">
        <f>IF('Quiz 1 Grades'!$P44="Graded",'Quiz 1 Grades'!D44,"")</f>
        <v>12</v>
      </c>
      <c r="AE52" s="44">
        <f>IF('Quiz 1 Grades'!$P44="Graded",'Quiz 1 Grades'!E44,"")</f>
        <v>5</v>
      </c>
      <c r="AF52" s="44">
        <f>IF('Quiz 1 Grades'!$P44="Graded",'Quiz 1 Grades'!F44,"")</f>
        <v>5</v>
      </c>
      <c r="AG52" s="44">
        <f>IF('Quiz 1 Grades'!$P44="Graded",'Quiz 1 Grades'!H44,"")</f>
        <v>5</v>
      </c>
      <c r="AH52" s="44">
        <f>IF('Quiz 1 Grades'!$P44="Graded",'Quiz 1 Grades'!I44,"")</f>
        <v>5</v>
      </c>
      <c r="AI52" s="44">
        <f>IF('Quiz 1 Grades'!$P44="Graded",'Quiz 1 Grades'!J44,"")</f>
        <v>5</v>
      </c>
      <c r="AJ52" s="44">
        <f t="shared" si="27"/>
        <v>37</v>
      </c>
      <c r="AK52" s="44">
        <f t="shared" si="28"/>
        <v>33</v>
      </c>
      <c r="AL52" s="44">
        <f t="shared" si="29"/>
        <v>40</v>
      </c>
      <c r="AM52" s="44">
        <f t="shared" si="30"/>
        <v>40</v>
      </c>
      <c r="AN52" s="44">
        <f t="shared" si="31"/>
        <v>40</v>
      </c>
      <c r="AO52" s="44">
        <f t="shared" si="32"/>
        <v>40</v>
      </c>
      <c r="AP52" s="44">
        <f t="shared" si="33"/>
        <v>40</v>
      </c>
    </row>
    <row r="53" spans="1:42" x14ac:dyDescent="0.3">
      <c r="P53" s="40">
        <v>39</v>
      </c>
      <c r="Q53" s="40">
        <f t="shared" si="20"/>
        <v>46</v>
      </c>
      <c r="R53" s="41">
        <f t="shared" si="21"/>
        <v>0.76865671641791045</v>
      </c>
      <c r="S53" s="41">
        <f t="shared" si="22"/>
        <v>0.73443023171221422</v>
      </c>
      <c r="T53" s="41">
        <f t="shared" si="23"/>
        <v>44.684148954834484</v>
      </c>
      <c r="U53" s="41">
        <f t="shared" si="24"/>
        <v>0.10439294555321944</v>
      </c>
      <c r="V53" s="41">
        <f t="shared" si="25"/>
        <v>4.8020754954480944</v>
      </c>
      <c r="W53" s="41">
        <f t="shared" si="26"/>
        <v>-28.731552358970387</v>
      </c>
      <c r="AB53" s="44">
        <f>IF('Quiz 1 Grades'!$P45="Graded",'Quiz 1 Grades'!$L45,"")</f>
        <v>33</v>
      </c>
      <c r="AC53" s="44">
        <f>IF('Quiz 1 Grades'!$P45="Graded",'Quiz 1 Grades'!C45,"")</f>
        <v>10</v>
      </c>
      <c r="AD53" s="44">
        <f>IF('Quiz 1 Grades'!$P45="Graded",'Quiz 1 Grades'!D45,"")</f>
        <v>15</v>
      </c>
      <c r="AE53" s="44">
        <f>IF('Quiz 1 Grades'!$P45="Graded",'Quiz 1 Grades'!E45,"")</f>
        <v>4</v>
      </c>
      <c r="AF53" s="44">
        <f>IF('Quiz 1 Grades'!$P45="Graded",'Quiz 1 Grades'!F45,"")</f>
        <v>4</v>
      </c>
      <c r="AG53" s="44">
        <f>IF('Quiz 1 Grades'!$P45="Graded",'Quiz 1 Grades'!H45,"")</f>
        <v>0</v>
      </c>
      <c r="AH53" s="44">
        <f>IF('Quiz 1 Grades'!$P45="Graded",'Quiz 1 Grades'!I45,"")</f>
        <v>0</v>
      </c>
      <c r="AI53" s="44">
        <f>IF('Quiz 1 Grades'!$P45="Graded",'Quiz 1 Grades'!J45,"")</f>
        <v>0</v>
      </c>
      <c r="AJ53" s="44">
        <f t="shared" si="27"/>
        <v>23</v>
      </c>
      <c r="AK53" s="44">
        <f t="shared" si="28"/>
        <v>18</v>
      </c>
      <c r="AL53" s="44">
        <f t="shared" si="29"/>
        <v>29</v>
      </c>
      <c r="AM53" s="44">
        <f t="shared" si="30"/>
        <v>29</v>
      </c>
      <c r="AN53" s="44">
        <f t="shared" si="31"/>
        <v>33</v>
      </c>
      <c r="AO53" s="44">
        <f t="shared" si="32"/>
        <v>33</v>
      </c>
      <c r="AP53" s="44">
        <f t="shared" si="33"/>
        <v>33</v>
      </c>
    </row>
    <row r="54" spans="1:42" x14ac:dyDescent="0.3">
      <c r="P54" s="40">
        <v>40</v>
      </c>
      <c r="Q54" s="40">
        <f t="shared" si="20"/>
        <v>46</v>
      </c>
      <c r="R54" s="41">
        <f t="shared" si="21"/>
        <v>0.78855721393034828</v>
      </c>
      <c r="S54" s="41">
        <f t="shared" si="22"/>
        <v>0.80142512926137854</v>
      </c>
      <c r="T54" s="41">
        <f t="shared" si="23"/>
        <v>45.279283348751825</v>
      </c>
      <c r="U54" s="41">
        <f t="shared" si="24"/>
        <v>0.11391569446823679</v>
      </c>
      <c r="V54" s="41">
        <f t="shared" si="25"/>
        <v>5.2401219455388928</v>
      </c>
      <c r="W54" s="41">
        <f t="shared" si="26"/>
        <v>-29.477826446216373</v>
      </c>
      <c r="AB54" s="44">
        <f>IF('Quiz 1 Grades'!$P46="Graded",'Quiz 1 Grades'!$L46,"")</f>
        <v>48</v>
      </c>
      <c r="AC54" s="44">
        <f>IF('Quiz 1 Grades'!$P46="Graded",'Quiz 1 Grades'!C46,"")</f>
        <v>10</v>
      </c>
      <c r="AD54" s="44">
        <f>IF('Quiz 1 Grades'!$P46="Graded",'Quiz 1 Grades'!D46,"")</f>
        <v>15</v>
      </c>
      <c r="AE54" s="44">
        <f>IF('Quiz 1 Grades'!$P46="Graded",'Quiz 1 Grades'!E46,"")</f>
        <v>4</v>
      </c>
      <c r="AF54" s="44">
        <f>IF('Quiz 1 Grades'!$P46="Graded",'Quiz 1 Grades'!F46,"")</f>
        <v>4</v>
      </c>
      <c r="AG54" s="44">
        <f>IF('Quiz 1 Grades'!$P46="Graded",'Quiz 1 Grades'!H46,"")</f>
        <v>5</v>
      </c>
      <c r="AH54" s="44">
        <f>IF('Quiz 1 Grades'!$P46="Graded",'Quiz 1 Grades'!I46,"")</f>
        <v>5</v>
      </c>
      <c r="AI54" s="44">
        <f>IF('Quiz 1 Grades'!$P46="Graded",'Quiz 1 Grades'!J46,"")</f>
        <v>5</v>
      </c>
      <c r="AJ54" s="44">
        <f t="shared" si="27"/>
        <v>38</v>
      </c>
      <c r="AK54" s="44">
        <f t="shared" si="28"/>
        <v>33</v>
      </c>
      <c r="AL54" s="44">
        <f t="shared" si="29"/>
        <v>44</v>
      </c>
      <c r="AM54" s="44">
        <f t="shared" si="30"/>
        <v>44</v>
      </c>
      <c r="AN54" s="44">
        <f t="shared" si="31"/>
        <v>43</v>
      </c>
      <c r="AO54" s="44">
        <f t="shared" si="32"/>
        <v>43</v>
      </c>
      <c r="AP54" s="44">
        <f t="shared" si="33"/>
        <v>43</v>
      </c>
    </row>
    <row r="55" spans="1:42" ht="22.05" customHeight="1" x14ac:dyDescent="0.3">
      <c r="A55" s="69" t="s">
        <v>364</v>
      </c>
      <c r="B55" s="62"/>
      <c r="C55" s="62"/>
      <c r="D55" s="62"/>
      <c r="E55" s="62"/>
      <c r="F55" s="62"/>
      <c r="G55" s="62"/>
      <c r="P55" s="40">
        <v>41</v>
      </c>
      <c r="Q55" s="40">
        <f t="shared" si="20"/>
        <v>46</v>
      </c>
      <c r="R55" s="41">
        <f t="shared" si="21"/>
        <v>0.80845771144278611</v>
      </c>
      <c r="S55" s="41">
        <f t="shared" si="22"/>
        <v>0.87222695532645922</v>
      </c>
      <c r="T55" s="41">
        <f t="shared" si="23"/>
        <v>45.908235752366757</v>
      </c>
      <c r="U55" s="41">
        <f t="shared" si="24"/>
        <v>0.12397956555405659</v>
      </c>
      <c r="V55" s="41">
        <f t="shared" si="25"/>
        <v>5.7030600154866029</v>
      </c>
      <c r="W55" s="41">
        <f t="shared" si="26"/>
        <v>-27.885207308242606</v>
      </c>
      <c r="AB55" s="44">
        <f>IF('Quiz 1 Grades'!$P47="Graded",'Quiz 1 Grades'!$L47,"")</f>
        <v>40</v>
      </c>
      <c r="AC55" s="44">
        <f>IF('Quiz 1 Grades'!$P47="Graded",'Quiz 1 Grades'!C47,"")</f>
        <v>5</v>
      </c>
      <c r="AD55" s="44">
        <f>IF('Quiz 1 Grades'!$P47="Graded",'Quiz 1 Grades'!D47,"")</f>
        <v>12</v>
      </c>
      <c r="AE55" s="44">
        <f>IF('Quiz 1 Grades'!$P47="Graded",'Quiz 1 Grades'!E47,"")</f>
        <v>4</v>
      </c>
      <c r="AF55" s="44">
        <f>IF('Quiz 1 Grades'!$P47="Graded",'Quiz 1 Grades'!F47,"")</f>
        <v>4</v>
      </c>
      <c r="AG55" s="44">
        <f>IF('Quiz 1 Grades'!$P47="Graded",'Quiz 1 Grades'!H47,"")</f>
        <v>5</v>
      </c>
      <c r="AH55" s="44">
        <f>IF('Quiz 1 Grades'!$P47="Graded",'Quiz 1 Grades'!I47,"")</f>
        <v>5</v>
      </c>
      <c r="AI55" s="44">
        <f>IF('Quiz 1 Grades'!$P47="Graded",'Quiz 1 Grades'!J47,"")</f>
        <v>5</v>
      </c>
      <c r="AJ55" s="44">
        <f t="shared" si="27"/>
        <v>35</v>
      </c>
      <c r="AK55" s="44">
        <f t="shared" si="28"/>
        <v>28</v>
      </c>
      <c r="AL55" s="44">
        <f t="shared" si="29"/>
        <v>36</v>
      </c>
      <c r="AM55" s="44">
        <f t="shared" si="30"/>
        <v>36</v>
      </c>
      <c r="AN55" s="44">
        <f t="shared" si="31"/>
        <v>35</v>
      </c>
      <c r="AO55" s="44">
        <f t="shared" si="32"/>
        <v>35</v>
      </c>
      <c r="AP55" s="44">
        <f t="shared" si="33"/>
        <v>35</v>
      </c>
    </row>
    <row r="56" spans="1:42" ht="30" customHeight="1" x14ac:dyDescent="0.3">
      <c r="A56" s="8" t="s">
        <v>206</v>
      </c>
      <c r="B56" s="8" t="s">
        <v>365</v>
      </c>
      <c r="C56" s="8" t="s">
        <v>209</v>
      </c>
      <c r="D56" s="8" t="s">
        <v>366</v>
      </c>
      <c r="E56" s="8" t="s">
        <v>367</v>
      </c>
      <c r="F56" s="8" t="s">
        <v>368</v>
      </c>
      <c r="G56" s="8" t="s">
        <v>369</v>
      </c>
      <c r="H56" s="8" t="s">
        <v>370</v>
      </c>
      <c r="P56" s="40">
        <v>42</v>
      </c>
      <c r="Q56" s="40">
        <f t="shared" si="20"/>
        <v>46</v>
      </c>
      <c r="R56" s="41">
        <f t="shared" si="21"/>
        <v>0.82835820895522383</v>
      </c>
      <c r="S56" s="41">
        <f t="shared" si="22"/>
        <v>0.94769728778009144</v>
      </c>
      <c r="T56" s="41">
        <f t="shared" si="23"/>
        <v>46.578659802654649</v>
      </c>
      <c r="U56" s="41">
        <f t="shared" si="24"/>
        <v>0.1347070247006493</v>
      </c>
      <c r="V56" s="41">
        <f t="shared" si="25"/>
        <v>6.1965231362298674</v>
      </c>
      <c r="W56" s="41">
        <f t="shared" si="26"/>
        <v>-28.573730945483167</v>
      </c>
      <c r="AB56" s="44">
        <f>IF('Quiz 1 Grades'!$P48="Graded",'Quiz 1 Grades'!$L48,"")</f>
        <v>29</v>
      </c>
      <c r="AC56" s="44">
        <f>IF('Quiz 1 Grades'!$P48="Graded",'Quiz 1 Grades'!C48,"")</f>
        <v>2</v>
      </c>
      <c r="AD56" s="44">
        <f>IF('Quiz 1 Grades'!$P48="Graded",'Quiz 1 Grades'!D48,"")</f>
        <v>8</v>
      </c>
      <c r="AE56" s="44">
        <f>IF('Quiz 1 Grades'!$P48="Graded",'Quiz 1 Grades'!E48,"")</f>
        <v>5</v>
      </c>
      <c r="AF56" s="44">
        <f>IF('Quiz 1 Grades'!$P48="Graded",'Quiz 1 Grades'!F48,"")</f>
        <v>4</v>
      </c>
      <c r="AG56" s="44">
        <f>IF('Quiz 1 Grades'!$P48="Graded",'Quiz 1 Grades'!H48,"")</f>
        <v>5</v>
      </c>
      <c r="AH56" s="44">
        <f>IF('Quiz 1 Grades'!$P48="Graded",'Quiz 1 Grades'!I48,"")</f>
        <v>0</v>
      </c>
      <c r="AI56" s="44">
        <f>IF('Quiz 1 Grades'!$P48="Graded",'Quiz 1 Grades'!J48,"")</f>
        <v>5</v>
      </c>
      <c r="AJ56" s="44">
        <f t="shared" si="27"/>
        <v>27</v>
      </c>
      <c r="AK56" s="44">
        <f t="shared" si="28"/>
        <v>21</v>
      </c>
      <c r="AL56" s="44">
        <f t="shared" si="29"/>
        <v>24</v>
      </c>
      <c r="AM56" s="44">
        <f t="shared" si="30"/>
        <v>25</v>
      </c>
      <c r="AN56" s="44">
        <f t="shared" si="31"/>
        <v>24</v>
      </c>
      <c r="AO56" s="44">
        <f t="shared" si="32"/>
        <v>29</v>
      </c>
      <c r="AP56" s="44">
        <f t="shared" si="33"/>
        <v>24</v>
      </c>
    </row>
    <row r="57" spans="1:42" x14ac:dyDescent="0.3">
      <c r="A57" s="9" t="str">
        <f>'Quiz 1 Grades'!C6</f>
        <v>1.1</v>
      </c>
      <c r="B57" s="55">
        <f>'Quiz 1 Grades'!C$5</f>
        <v>10</v>
      </c>
      <c r="C57" s="56">
        <f>IFERROR(AVERAGE($AC$15:$AC$66),"")</f>
        <v>6.32</v>
      </c>
      <c r="D57" s="12">
        <f t="shared" ref="D57:D63" si="34">IFERROR(C57/B57,"")</f>
        <v>0.63200000000000001</v>
      </c>
      <c r="E57" s="56">
        <f>IFERROR(STDEV($AC$15:$AC$66),"")</f>
        <v>3.145712988192285</v>
      </c>
      <c r="F57" s="45">
        <f>IFERROR(CORREL($AC$15:$AC$66,$AJ$15:$AJ$66),"")</f>
        <v>0.517653770162813</v>
      </c>
      <c r="G57" s="9" t="str">
        <f t="shared" ref="G57:G63" si="35">IF(ISNUMBER(F57),IF(F57&gt;=0.3,"Good",IF(F57&gt;=0.2,"Fair","Weak")),"")</f>
        <v>Good</v>
      </c>
      <c r="H57" s="57" t="str">
        <f t="shared" ref="H57:H63" si="36">IF(D57="","",IF(D57&lt;0.5,"Hard for most",IF(D57&gt;0.9,"Very easy",""))&amp;IF(AND(ISNUMBER(F57),F57&lt;0.2)," · check key/wording",""))</f>
        <v/>
      </c>
      <c r="P57" s="40">
        <v>43</v>
      </c>
      <c r="Q57" s="40">
        <f t="shared" si="20"/>
        <v>46</v>
      </c>
      <c r="R57" s="41">
        <f t="shared" si="21"/>
        <v>0.84825870646766166</v>
      </c>
      <c r="S57" s="41">
        <f t="shared" si="22"/>
        <v>1.0289938026760728</v>
      </c>
      <c r="T57" s="41">
        <f t="shared" si="23"/>
        <v>47.300839459466673</v>
      </c>
      <c r="U57" s="41">
        <f t="shared" si="24"/>
        <v>0.14626262560969278</v>
      </c>
      <c r="V57" s="41">
        <f t="shared" si="25"/>
        <v>6.728080778045868</v>
      </c>
      <c r="W57" s="41">
        <f t="shared" si="26"/>
        <v>-27.16111909830218</v>
      </c>
      <c r="AB57" s="44">
        <f>IF('Quiz 1 Grades'!$P49="Graded",'Quiz 1 Grades'!$L49,"")</f>
        <v>38</v>
      </c>
      <c r="AC57" s="44">
        <f>IF('Quiz 1 Grades'!$P49="Graded",'Quiz 1 Grades'!C49,"")</f>
        <v>3</v>
      </c>
      <c r="AD57" s="44">
        <f>IF('Quiz 1 Grades'!$P49="Graded",'Quiz 1 Grades'!D49,"")</f>
        <v>15</v>
      </c>
      <c r="AE57" s="44">
        <f>IF('Quiz 1 Grades'!$P49="Graded",'Quiz 1 Grades'!E49,"")</f>
        <v>5</v>
      </c>
      <c r="AF57" s="44">
        <f>IF('Quiz 1 Grades'!$P49="Graded",'Quiz 1 Grades'!F49,"")</f>
        <v>5</v>
      </c>
      <c r="AG57" s="44">
        <f>IF('Quiz 1 Grades'!$P49="Graded",'Quiz 1 Grades'!H49,"")</f>
        <v>5</v>
      </c>
      <c r="AH57" s="44">
        <f>IF('Quiz 1 Grades'!$P49="Graded",'Quiz 1 Grades'!I49,"")</f>
        <v>5</v>
      </c>
      <c r="AI57" s="44">
        <f>IF('Quiz 1 Grades'!$P49="Graded",'Quiz 1 Grades'!J49,"")</f>
        <v>0</v>
      </c>
      <c r="AJ57" s="44">
        <f t="shared" si="27"/>
        <v>35</v>
      </c>
      <c r="AK57" s="44">
        <f t="shared" si="28"/>
        <v>23</v>
      </c>
      <c r="AL57" s="44">
        <f t="shared" si="29"/>
        <v>33</v>
      </c>
      <c r="AM57" s="44">
        <f t="shared" si="30"/>
        <v>33</v>
      </c>
      <c r="AN57" s="44">
        <f t="shared" si="31"/>
        <v>33</v>
      </c>
      <c r="AO57" s="44">
        <f t="shared" si="32"/>
        <v>33</v>
      </c>
      <c r="AP57" s="44">
        <f t="shared" si="33"/>
        <v>38</v>
      </c>
    </row>
    <row r="58" spans="1:42" x14ac:dyDescent="0.3">
      <c r="A58" s="9" t="str">
        <f>'Quiz 1 Grades'!D6</f>
        <v>1.2</v>
      </c>
      <c r="B58" s="55">
        <f>'Quiz 1 Grades'!D$5</f>
        <v>15</v>
      </c>
      <c r="C58" s="56">
        <f>IFERROR(AVERAGE($AD$15:$AD$66),"")</f>
        <v>11.92</v>
      </c>
      <c r="D58" s="12">
        <f t="shared" si="34"/>
        <v>0.79466666666666663</v>
      </c>
      <c r="E58" s="56">
        <f>IFERROR(STDEV($AD$15:$AD$66),"")</f>
        <v>3.5157952623169937</v>
      </c>
      <c r="F58" s="45">
        <f>IFERROR(CORREL($AD$15:$AD$66,$AK$15:$AK$66),"")</f>
        <v>0.60126386601368986</v>
      </c>
      <c r="G58" s="9" t="str">
        <f t="shared" si="35"/>
        <v>Good</v>
      </c>
      <c r="H58" s="57" t="str">
        <f t="shared" si="36"/>
        <v/>
      </c>
      <c r="P58" s="40">
        <v>44</v>
      </c>
      <c r="Q58" s="40">
        <f t="shared" si="20"/>
        <v>48</v>
      </c>
      <c r="R58" s="41">
        <f t="shared" si="21"/>
        <v>0.86815920398009949</v>
      </c>
      <c r="S58" s="41">
        <f t="shared" si="22"/>
        <v>1.1177317177440835</v>
      </c>
      <c r="T58" s="41">
        <f t="shared" si="23"/>
        <v>48.089123153202216</v>
      </c>
      <c r="U58" s="41">
        <f t="shared" si="24"/>
        <v>0.15887595759985926</v>
      </c>
      <c r="V58" s="41">
        <f t="shared" si="25"/>
        <v>7.6260459647932439</v>
      </c>
      <c r="W58" s="41">
        <f t="shared" si="26"/>
        <v>-20.294170992775776</v>
      </c>
      <c r="AB58" s="44">
        <f>IF('Quiz 1 Grades'!$P50="Graded",'Quiz 1 Grades'!$L50,"")</f>
        <v>38</v>
      </c>
      <c r="AC58" s="44">
        <f>IF('Quiz 1 Grades'!$P50="Graded",'Quiz 1 Grades'!C50,"")</f>
        <v>8</v>
      </c>
      <c r="AD58" s="44">
        <f>IF('Quiz 1 Grades'!$P50="Graded",'Quiz 1 Grades'!D50,"")</f>
        <v>10</v>
      </c>
      <c r="AE58" s="44">
        <f>IF('Quiz 1 Grades'!$P50="Graded",'Quiz 1 Grades'!E50,"")</f>
        <v>5</v>
      </c>
      <c r="AF58" s="44">
        <f>IF('Quiz 1 Grades'!$P50="Graded",'Quiz 1 Grades'!F50,"")</f>
        <v>5</v>
      </c>
      <c r="AG58" s="44">
        <f>IF('Quiz 1 Grades'!$P50="Graded",'Quiz 1 Grades'!H50,"")</f>
        <v>5</v>
      </c>
      <c r="AH58" s="44">
        <f>IF('Quiz 1 Grades'!$P50="Graded",'Quiz 1 Grades'!I50,"")</f>
        <v>0</v>
      </c>
      <c r="AI58" s="44">
        <f>IF('Quiz 1 Grades'!$P50="Graded",'Quiz 1 Grades'!J50,"")</f>
        <v>5</v>
      </c>
      <c r="AJ58" s="44">
        <f t="shared" si="27"/>
        <v>30</v>
      </c>
      <c r="AK58" s="44">
        <f t="shared" si="28"/>
        <v>28</v>
      </c>
      <c r="AL58" s="44">
        <f t="shared" si="29"/>
        <v>33</v>
      </c>
      <c r="AM58" s="44">
        <f t="shared" si="30"/>
        <v>33</v>
      </c>
      <c r="AN58" s="44">
        <f t="shared" si="31"/>
        <v>33</v>
      </c>
      <c r="AO58" s="44">
        <f t="shared" si="32"/>
        <v>38</v>
      </c>
      <c r="AP58" s="44">
        <f t="shared" si="33"/>
        <v>33</v>
      </c>
    </row>
    <row r="59" spans="1:42" x14ac:dyDescent="0.3">
      <c r="A59" s="9" t="str">
        <f>'Quiz 1 Grades'!E6</f>
        <v>1.3 A</v>
      </c>
      <c r="B59" s="55">
        <f>'Quiz 1 Grades'!E$5</f>
        <v>5</v>
      </c>
      <c r="C59" s="56">
        <f>IFERROR(AVERAGE($AE$15:$AE$66),"")</f>
        <v>4.1399999999999997</v>
      </c>
      <c r="D59" s="12">
        <f t="shared" si="34"/>
        <v>0.82799999999999996</v>
      </c>
      <c r="E59" s="56">
        <f>IFERROR(STDEV($AE$15:$AE$66),"")</f>
        <v>0.88086228625531382</v>
      </c>
      <c r="F59" s="45">
        <f>IFERROR(CORREL($AE$15:$AE$66,$AL$15:$AL$66),"")</f>
        <v>0.40343544905972928</v>
      </c>
      <c r="G59" s="9" t="str">
        <f t="shared" si="35"/>
        <v>Good</v>
      </c>
      <c r="H59" s="57" t="str">
        <f t="shared" si="36"/>
        <v/>
      </c>
      <c r="P59" s="40">
        <v>45</v>
      </c>
      <c r="Q59" s="40">
        <f t="shared" si="20"/>
        <v>48</v>
      </c>
      <c r="R59" s="41">
        <f t="shared" si="21"/>
        <v>0.88805970149253732</v>
      </c>
      <c r="S59" s="41">
        <f t="shared" si="22"/>
        <v>1.2162739092587758</v>
      </c>
      <c r="T59" s="41">
        <f t="shared" si="23"/>
        <v>48.964500974018286</v>
      </c>
      <c r="U59" s="41">
        <f t="shared" si="24"/>
        <v>0.17288288322641651</v>
      </c>
      <c r="V59" s="41">
        <f t="shared" si="25"/>
        <v>8.2983783948679921</v>
      </c>
      <c r="W59" s="41">
        <f t="shared" si="26"/>
        <v>-20.76070365927637</v>
      </c>
      <c r="AB59" s="44">
        <f>IF('Quiz 1 Grades'!$P51="Graded",'Quiz 1 Grades'!$L51,"")</f>
        <v>40</v>
      </c>
      <c r="AC59" s="44">
        <f>IF('Quiz 1 Grades'!$P51="Graded",'Quiz 1 Grades'!C51,"")</f>
        <v>8</v>
      </c>
      <c r="AD59" s="44">
        <f>IF('Quiz 1 Grades'!$P51="Graded",'Quiz 1 Grades'!D51,"")</f>
        <v>15</v>
      </c>
      <c r="AE59" s="44">
        <f>IF('Quiz 1 Grades'!$P51="Graded",'Quiz 1 Grades'!E51,"")</f>
        <v>4</v>
      </c>
      <c r="AF59" s="44">
        <f>IF('Quiz 1 Grades'!$P51="Graded",'Quiz 1 Grades'!F51,"")</f>
        <v>3</v>
      </c>
      <c r="AG59" s="44">
        <f>IF('Quiz 1 Grades'!$P51="Graded",'Quiz 1 Grades'!H51,"")</f>
        <v>5</v>
      </c>
      <c r="AH59" s="44">
        <f>IF('Quiz 1 Grades'!$P51="Graded",'Quiz 1 Grades'!I51,"")</f>
        <v>0</v>
      </c>
      <c r="AI59" s="44">
        <f>IF('Quiz 1 Grades'!$P51="Graded",'Quiz 1 Grades'!J51,"")</f>
        <v>5</v>
      </c>
      <c r="AJ59" s="44">
        <f t="shared" si="27"/>
        <v>32</v>
      </c>
      <c r="AK59" s="44">
        <f t="shared" si="28"/>
        <v>25</v>
      </c>
      <c r="AL59" s="44">
        <f t="shared" si="29"/>
        <v>36</v>
      </c>
      <c r="AM59" s="44">
        <f t="shared" si="30"/>
        <v>37</v>
      </c>
      <c r="AN59" s="44">
        <f t="shared" si="31"/>
        <v>35</v>
      </c>
      <c r="AO59" s="44">
        <f t="shared" si="32"/>
        <v>40</v>
      </c>
      <c r="AP59" s="44">
        <f t="shared" si="33"/>
        <v>35</v>
      </c>
    </row>
    <row r="60" spans="1:42" x14ac:dyDescent="0.3">
      <c r="A60" s="9" t="str">
        <f>'Quiz 1 Grades'!F6</f>
        <v>1.3 B</v>
      </c>
      <c r="B60" s="55">
        <f>'Quiz 1 Grades'!F$5</f>
        <v>5</v>
      </c>
      <c r="C60" s="56">
        <f>IFERROR(AVERAGE($AF$15:$AF$66),"")</f>
        <v>4.08</v>
      </c>
      <c r="D60" s="12">
        <f t="shared" si="34"/>
        <v>0.81600000000000006</v>
      </c>
      <c r="E60" s="56">
        <f>IFERROR(STDEV($AF$15:$AF$66),"")</f>
        <v>0.8040712731125873</v>
      </c>
      <c r="F60" s="45">
        <f>IFERROR(CORREL($AF$15:$AF$66,$AM$15:$AM$66),"")</f>
        <v>0.39454653474961249</v>
      </c>
      <c r="G60" s="9" t="str">
        <f t="shared" si="35"/>
        <v>Good</v>
      </c>
      <c r="H60" s="57" t="str">
        <f t="shared" si="36"/>
        <v/>
      </c>
      <c r="P60" s="40">
        <v>46</v>
      </c>
      <c r="Q60" s="40">
        <f t="shared" si="20"/>
        <v>50</v>
      </c>
      <c r="R60" s="41">
        <f t="shared" si="21"/>
        <v>0.90796019900497515</v>
      </c>
      <c r="S60" s="41">
        <f t="shared" si="22"/>
        <v>1.3282982368394793</v>
      </c>
      <c r="T60" s="41">
        <f t="shared" si="23"/>
        <v>49.959644376541057</v>
      </c>
      <c r="U60" s="41">
        <f t="shared" si="24"/>
        <v>0.1888061786257689</v>
      </c>
      <c r="V60" s="41">
        <f t="shared" si="25"/>
        <v>9.4403089312884454</v>
      </c>
      <c r="W60" s="41">
        <f t="shared" si="26"/>
        <v>-16.847023710039512</v>
      </c>
      <c r="AB60" s="44">
        <f>IF('Quiz 1 Grades'!$P52="Graded",'Quiz 1 Grades'!$L52,"")</f>
        <v>37</v>
      </c>
      <c r="AC60" s="44">
        <f>IF('Quiz 1 Grades'!$P52="Graded",'Quiz 1 Grades'!C52,"")</f>
        <v>10</v>
      </c>
      <c r="AD60" s="44">
        <f>IF('Quiz 1 Grades'!$P52="Graded",'Quiz 1 Grades'!D52,"")</f>
        <v>10</v>
      </c>
      <c r="AE60" s="44">
        <f>IF('Quiz 1 Grades'!$P52="Graded",'Quiz 1 Grades'!E52,"")</f>
        <v>3</v>
      </c>
      <c r="AF60" s="44">
        <f>IF('Quiz 1 Grades'!$P52="Graded",'Quiz 1 Grades'!F52,"")</f>
        <v>4</v>
      </c>
      <c r="AG60" s="44">
        <f>IF('Quiz 1 Grades'!$P52="Graded",'Quiz 1 Grades'!H52,"")</f>
        <v>0</v>
      </c>
      <c r="AH60" s="44">
        <f>IF('Quiz 1 Grades'!$P52="Graded",'Quiz 1 Grades'!I52,"")</f>
        <v>5</v>
      </c>
      <c r="AI60" s="44">
        <f>IF('Quiz 1 Grades'!$P52="Graded",'Quiz 1 Grades'!J52,"")</f>
        <v>5</v>
      </c>
      <c r="AJ60" s="44">
        <f t="shared" si="27"/>
        <v>27</v>
      </c>
      <c r="AK60" s="44">
        <f t="shared" si="28"/>
        <v>27</v>
      </c>
      <c r="AL60" s="44">
        <f t="shared" si="29"/>
        <v>34</v>
      </c>
      <c r="AM60" s="44">
        <f t="shared" si="30"/>
        <v>33</v>
      </c>
      <c r="AN60" s="44">
        <f t="shared" si="31"/>
        <v>37</v>
      </c>
      <c r="AO60" s="44">
        <f t="shared" si="32"/>
        <v>32</v>
      </c>
      <c r="AP60" s="44">
        <f t="shared" si="33"/>
        <v>32</v>
      </c>
    </row>
    <row r="61" spans="1:42" x14ac:dyDescent="0.3">
      <c r="A61" s="9" t="str">
        <f>'Quiz 1 Grades'!H6</f>
        <v>2.1</v>
      </c>
      <c r="B61" s="55">
        <f>'Quiz 1 Grades'!H$5</f>
        <v>5</v>
      </c>
      <c r="C61" s="56">
        <f>IFERROR(AVERAGE($AG$15:$AG$66),"")</f>
        <v>4.0999999999999996</v>
      </c>
      <c r="D61" s="12">
        <f t="shared" si="34"/>
        <v>0.82</v>
      </c>
      <c r="E61" s="56">
        <f>IFERROR(STDEV($AG$15:$AG$66),"")</f>
        <v>1.940439672458018</v>
      </c>
      <c r="F61" s="45">
        <f>IFERROR(CORREL($AG$15:$AG$66,$AN$15:$AN$66),"")</f>
        <v>0.35132919053559503</v>
      </c>
      <c r="G61" s="9" t="str">
        <f t="shared" si="35"/>
        <v>Good</v>
      </c>
      <c r="H61" s="57" t="str">
        <f t="shared" si="36"/>
        <v/>
      </c>
      <c r="P61" s="40">
        <v>47</v>
      </c>
      <c r="Q61" s="40">
        <f t="shared" si="20"/>
        <v>50</v>
      </c>
      <c r="R61" s="41">
        <f t="shared" si="21"/>
        <v>0.92786069651741299</v>
      </c>
      <c r="S61" s="41">
        <f t="shared" si="22"/>
        <v>1.4600417246568451</v>
      </c>
      <c r="T61" s="41">
        <f t="shared" si="23"/>
        <v>51.129958589160125</v>
      </c>
      <c r="U61" s="41">
        <f t="shared" si="24"/>
        <v>0.20753238318116449</v>
      </c>
      <c r="V61" s="41">
        <f t="shared" si="25"/>
        <v>10.376619159058224</v>
      </c>
      <c r="W61" s="41">
        <f t="shared" si="26"/>
        <v>-13.082949747357805</v>
      </c>
      <c r="AB61" s="44">
        <f>IF('Quiz 1 Grades'!$P53="Graded",'Quiz 1 Grades'!$L53,"")</f>
        <v>41</v>
      </c>
      <c r="AC61" s="44">
        <f>IF('Quiz 1 Grades'!$P53="Graded",'Quiz 1 Grades'!C53,"")</f>
        <v>6</v>
      </c>
      <c r="AD61" s="44">
        <f>IF('Quiz 1 Grades'!$P53="Graded",'Quiz 1 Grades'!D53,"")</f>
        <v>10</v>
      </c>
      <c r="AE61" s="44">
        <f>IF('Quiz 1 Grades'!$P53="Graded",'Quiz 1 Grades'!E53,"")</f>
        <v>5</v>
      </c>
      <c r="AF61" s="44">
        <f>IF('Quiz 1 Grades'!$P53="Graded",'Quiz 1 Grades'!F53,"")</f>
        <v>5</v>
      </c>
      <c r="AG61" s="44">
        <f>IF('Quiz 1 Grades'!$P53="Graded",'Quiz 1 Grades'!H53,"")</f>
        <v>5</v>
      </c>
      <c r="AH61" s="44">
        <f>IF('Quiz 1 Grades'!$P53="Graded",'Quiz 1 Grades'!I53,"")</f>
        <v>5</v>
      </c>
      <c r="AI61" s="44">
        <f>IF('Quiz 1 Grades'!$P53="Graded",'Quiz 1 Grades'!J53,"")</f>
        <v>5</v>
      </c>
      <c r="AJ61" s="44">
        <f t="shared" si="27"/>
        <v>35</v>
      </c>
      <c r="AK61" s="44">
        <f t="shared" si="28"/>
        <v>31</v>
      </c>
      <c r="AL61" s="44">
        <f t="shared" si="29"/>
        <v>36</v>
      </c>
      <c r="AM61" s="44">
        <f t="shared" si="30"/>
        <v>36</v>
      </c>
      <c r="AN61" s="44">
        <f t="shared" si="31"/>
        <v>36</v>
      </c>
      <c r="AO61" s="44">
        <f t="shared" si="32"/>
        <v>36</v>
      </c>
      <c r="AP61" s="44">
        <f t="shared" si="33"/>
        <v>36</v>
      </c>
    </row>
    <row r="62" spans="1:42" x14ac:dyDescent="0.3">
      <c r="A62" s="9" t="str">
        <f>'Quiz 1 Grades'!I6</f>
        <v>2.2</v>
      </c>
      <c r="B62" s="55">
        <f>'Quiz 1 Grades'!I$5</f>
        <v>5</v>
      </c>
      <c r="C62" s="56">
        <f>IFERROR(AVERAGE($AH$15:$AH$66),"")</f>
        <v>3.2</v>
      </c>
      <c r="D62" s="12">
        <f t="shared" si="34"/>
        <v>0.64</v>
      </c>
      <c r="E62" s="56">
        <f>IFERROR(STDEV($AH$15:$AH$66),"")</f>
        <v>2.424366106925306</v>
      </c>
      <c r="F62" s="45">
        <f>IFERROR(CORREL($AH$15:$AH$66,$AO$15:$AO$66),"")</f>
        <v>0.17754795955240063</v>
      </c>
      <c r="G62" s="9" t="str">
        <f t="shared" si="35"/>
        <v>Weak</v>
      </c>
      <c r="H62" s="57" t="str">
        <f t="shared" si="36"/>
        <v xml:space="preserve"> · check key/wording</v>
      </c>
      <c r="P62" s="40">
        <v>48</v>
      </c>
      <c r="Q62" s="40">
        <f t="shared" si="20"/>
        <v>50</v>
      </c>
      <c r="R62" s="41">
        <f t="shared" si="21"/>
        <v>0.94776119402985071</v>
      </c>
      <c r="S62" s="41">
        <f t="shared" si="22"/>
        <v>1.6235231816505271</v>
      </c>
      <c r="T62" s="41">
        <f t="shared" si="23"/>
        <v>52.582210049851746</v>
      </c>
      <c r="U62" s="41">
        <f t="shared" si="24"/>
        <v>0.23076986729060109</v>
      </c>
      <c r="V62" s="41">
        <f t="shared" si="25"/>
        <v>11.538493364530055</v>
      </c>
      <c r="W62" s="41">
        <f t="shared" si="26"/>
        <v>-13.3643035053655</v>
      </c>
      <c r="AB62" s="44">
        <f>IF('Quiz 1 Grades'!$P54="Graded",'Quiz 1 Grades'!$L54,"")</f>
        <v>44</v>
      </c>
      <c r="AC62" s="44">
        <f>IF('Quiz 1 Grades'!$P54="Graded",'Quiz 1 Grades'!C54,"")</f>
        <v>6</v>
      </c>
      <c r="AD62" s="44">
        <f>IF('Quiz 1 Grades'!$P54="Graded",'Quiz 1 Grades'!D54,"")</f>
        <v>15</v>
      </c>
      <c r="AE62" s="44">
        <f>IF('Quiz 1 Grades'!$P54="Graded",'Quiz 1 Grades'!E54,"")</f>
        <v>5</v>
      </c>
      <c r="AF62" s="44">
        <f>IF('Quiz 1 Grades'!$P54="Graded",'Quiz 1 Grades'!F54,"")</f>
        <v>3</v>
      </c>
      <c r="AG62" s="44">
        <f>IF('Quiz 1 Grades'!$P54="Graded",'Quiz 1 Grades'!H54,"")</f>
        <v>5</v>
      </c>
      <c r="AH62" s="44">
        <f>IF('Quiz 1 Grades'!$P54="Graded",'Quiz 1 Grades'!I54,"")</f>
        <v>5</v>
      </c>
      <c r="AI62" s="44">
        <f>IF('Quiz 1 Grades'!$P54="Graded",'Quiz 1 Grades'!J54,"")</f>
        <v>5</v>
      </c>
      <c r="AJ62" s="44">
        <f t="shared" si="27"/>
        <v>38</v>
      </c>
      <c r="AK62" s="44">
        <f t="shared" si="28"/>
        <v>29</v>
      </c>
      <c r="AL62" s="44">
        <f t="shared" si="29"/>
        <v>39</v>
      </c>
      <c r="AM62" s="44">
        <f t="shared" si="30"/>
        <v>41</v>
      </c>
      <c r="AN62" s="44">
        <f t="shared" si="31"/>
        <v>39</v>
      </c>
      <c r="AO62" s="44">
        <f t="shared" si="32"/>
        <v>39</v>
      </c>
      <c r="AP62" s="44">
        <f t="shared" si="33"/>
        <v>39</v>
      </c>
    </row>
    <row r="63" spans="1:42" x14ac:dyDescent="0.3">
      <c r="A63" s="9" t="str">
        <f>'Quiz 1 Grades'!J6</f>
        <v>2.3</v>
      </c>
      <c r="B63" s="55">
        <f>'Quiz 1 Grades'!J$5</f>
        <v>5</v>
      </c>
      <c r="C63" s="56">
        <f>IFERROR(AVERAGE($AI$15:$AI$66),"")</f>
        <v>4.4000000000000004</v>
      </c>
      <c r="D63" s="12">
        <f t="shared" si="34"/>
        <v>0.88000000000000012</v>
      </c>
      <c r="E63" s="56">
        <f>IFERROR(STDEV($AI$15:$AI$66),"")</f>
        <v>1.6413036132965795</v>
      </c>
      <c r="F63" s="45">
        <f>IFERROR(CORREL($AI$15:$AI$66,$AP$15:$AP$66),"")</f>
        <v>0.27411385406995586</v>
      </c>
      <c r="G63" s="9" t="str">
        <f t="shared" si="35"/>
        <v>Fair</v>
      </c>
      <c r="H63" s="57" t="str">
        <f t="shared" si="36"/>
        <v/>
      </c>
      <c r="P63" s="40">
        <v>49</v>
      </c>
      <c r="Q63" s="40">
        <f t="shared" si="20"/>
        <v>50</v>
      </c>
      <c r="R63" s="41">
        <f t="shared" si="21"/>
        <v>0.96766169154228854</v>
      </c>
      <c r="S63" s="41">
        <f t="shared" si="22"/>
        <v>1.8474868176556127</v>
      </c>
      <c r="T63" s="41">
        <f t="shared" si="23"/>
        <v>54.571741605976555</v>
      </c>
      <c r="U63" s="41">
        <f t="shared" si="24"/>
        <v>0.26622143041346247</v>
      </c>
      <c r="V63" s="41">
        <f t="shared" si="25"/>
        <v>13.311071520673124</v>
      </c>
      <c r="W63" s="41">
        <f t="shared" si="26"/>
        <v>-11.910763674308059</v>
      </c>
      <c r="AB63" s="44">
        <f>IF('Quiz 1 Grades'!$P55="Graded",'Quiz 1 Grades'!$L55,"")</f>
        <v>29</v>
      </c>
      <c r="AC63" s="44">
        <f>IF('Quiz 1 Grades'!$P55="Graded",'Quiz 1 Grades'!C55,"")</f>
        <v>0</v>
      </c>
      <c r="AD63" s="44">
        <f>IF('Quiz 1 Grades'!$P55="Graded",'Quiz 1 Grades'!D55,"")</f>
        <v>10</v>
      </c>
      <c r="AE63" s="44">
        <f>IF('Quiz 1 Grades'!$P55="Graded",'Quiz 1 Grades'!E55,"")</f>
        <v>2</v>
      </c>
      <c r="AF63" s="44">
        <f>IF('Quiz 1 Grades'!$P55="Graded",'Quiz 1 Grades'!F55,"")</f>
        <v>2</v>
      </c>
      <c r="AG63" s="44">
        <f>IF('Quiz 1 Grades'!$P55="Graded",'Quiz 1 Grades'!H55,"")</f>
        <v>5</v>
      </c>
      <c r="AH63" s="44">
        <f>IF('Quiz 1 Grades'!$P55="Graded",'Quiz 1 Grades'!I55,"")</f>
        <v>5</v>
      </c>
      <c r="AI63" s="44">
        <f>IF('Quiz 1 Grades'!$P55="Graded",'Quiz 1 Grades'!J55,"")</f>
        <v>5</v>
      </c>
      <c r="AJ63" s="44">
        <f t="shared" si="27"/>
        <v>29</v>
      </c>
      <c r="AK63" s="44">
        <f t="shared" si="28"/>
        <v>19</v>
      </c>
      <c r="AL63" s="44">
        <f t="shared" si="29"/>
        <v>27</v>
      </c>
      <c r="AM63" s="44">
        <f t="shared" si="30"/>
        <v>27</v>
      </c>
      <c r="AN63" s="44">
        <f t="shared" si="31"/>
        <v>24</v>
      </c>
      <c r="AO63" s="44">
        <f t="shared" si="32"/>
        <v>24</v>
      </c>
      <c r="AP63" s="44">
        <f t="shared" si="33"/>
        <v>24</v>
      </c>
    </row>
    <row r="64" spans="1:42" x14ac:dyDescent="0.3">
      <c r="A64" s="1" t="s">
        <v>371</v>
      </c>
      <c r="C64" s="45">
        <f>IFERROR((7/(7-1))*(1-(VAR($AC$15:$AC$66)+VAR($AD$15:$AD$66)+VAR($AE$15:$AE$66)+VAR($AF$15:$AF$66)+VAR($AG$15:$AG$66)+VAR($AH$15:$AH$66)+VAR($AI$15:$AI$66))/VAR($AB$15:$AB$66)),"")</f>
        <v>0.63420332133349899</v>
      </c>
      <c r="D64" s="9" t="str">
        <f>IF(ISNUMBER(C64),IF(C64&gt;=0.7,"Acceptable",IF(C64&gt;=0.5,"Moderate","Low")),"")</f>
        <v>Moderate</v>
      </c>
      <c r="E64" s="74" t="s">
        <v>372</v>
      </c>
      <c r="F64" s="62"/>
      <c r="G64" s="62"/>
      <c r="H64" s="62"/>
      <c r="P64" s="40">
        <v>50</v>
      </c>
      <c r="Q64" s="40">
        <f t="shared" si="20"/>
        <v>50</v>
      </c>
      <c r="R64" s="41">
        <f t="shared" si="21"/>
        <v>0.98756218905472637</v>
      </c>
      <c r="S64" s="41">
        <f t="shared" si="22"/>
        <v>2.2433287630462804</v>
      </c>
      <c r="T64" s="41">
        <f t="shared" si="23"/>
        <v>58.088116208747728</v>
      </c>
      <c r="U64" s="41">
        <f t="shared" si="24"/>
        <v>0.35059925396811126</v>
      </c>
      <c r="V64" s="41">
        <f t="shared" si="25"/>
        <v>17.529962698405562</v>
      </c>
      <c r="W64" s="41">
        <f t="shared" si="26"/>
        <v>-10.103625366345995</v>
      </c>
      <c r="AB64" s="44">
        <f>IF('Quiz 1 Grades'!$P56="Graded",'Quiz 1 Grades'!$L56,"")</f>
        <v>43</v>
      </c>
      <c r="AC64" s="44">
        <f>IF('Quiz 1 Grades'!$P56="Graded",'Quiz 1 Grades'!C56,"")</f>
        <v>3</v>
      </c>
      <c r="AD64" s="44">
        <f>IF('Quiz 1 Grades'!$P56="Graded",'Quiz 1 Grades'!D56,"")</f>
        <v>15</v>
      </c>
      <c r="AE64" s="44">
        <f>IF('Quiz 1 Grades'!$P56="Graded",'Quiz 1 Grades'!E56,"")</f>
        <v>5</v>
      </c>
      <c r="AF64" s="44">
        <f>IF('Quiz 1 Grades'!$P56="Graded",'Quiz 1 Grades'!F56,"")</f>
        <v>5</v>
      </c>
      <c r="AG64" s="44">
        <f>IF('Quiz 1 Grades'!$P56="Graded",'Quiz 1 Grades'!H56,"")</f>
        <v>5</v>
      </c>
      <c r="AH64" s="44">
        <f>IF('Quiz 1 Grades'!$P56="Graded",'Quiz 1 Grades'!I56,"")</f>
        <v>5</v>
      </c>
      <c r="AI64" s="44">
        <f>IF('Quiz 1 Grades'!$P56="Graded",'Quiz 1 Grades'!J56,"")</f>
        <v>5</v>
      </c>
      <c r="AJ64" s="44">
        <f t="shared" si="27"/>
        <v>40</v>
      </c>
      <c r="AK64" s="44">
        <f t="shared" si="28"/>
        <v>28</v>
      </c>
      <c r="AL64" s="44">
        <f t="shared" si="29"/>
        <v>38</v>
      </c>
      <c r="AM64" s="44">
        <f t="shared" si="30"/>
        <v>38</v>
      </c>
      <c r="AN64" s="44">
        <f t="shared" si="31"/>
        <v>38</v>
      </c>
      <c r="AO64" s="44">
        <f t="shared" si="32"/>
        <v>38</v>
      </c>
      <c r="AP64" s="44">
        <f t="shared" si="33"/>
        <v>38</v>
      </c>
    </row>
    <row r="65" spans="1:42" x14ac:dyDescent="0.3">
      <c r="A65" s="27" t="s">
        <v>373</v>
      </c>
      <c r="P65" s="40">
        <v>51</v>
      </c>
      <c r="Q65" s="40" t="e">
        <f t="shared" si="20"/>
        <v>#N/A</v>
      </c>
      <c r="R65" s="41" t="str">
        <f t="shared" si="21"/>
        <v/>
      </c>
      <c r="S65" s="41" t="str">
        <f t="shared" si="22"/>
        <v/>
      </c>
      <c r="T65" s="41" t="e">
        <f t="shared" si="23"/>
        <v>#N/A</v>
      </c>
      <c r="U65" s="41" t="str">
        <f t="shared" si="24"/>
        <v/>
      </c>
      <c r="V65" s="41" t="str">
        <f t="shared" si="25"/>
        <v/>
      </c>
      <c r="W65" s="41" t="str">
        <f t="shared" si="26"/>
        <v/>
      </c>
      <c r="AB65" s="44">
        <f>IF('Quiz 1 Grades'!$P57="Graded",'Quiz 1 Grades'!$L57,"")</f>
        <v>38</v>
      </c>
      <c r="AC65" s="44">
        <f>IF('Quiz 1 Grades'!$P57="Graded",'Quiz 1 Grades'!C57,"")</f>
        <v>3</v>
      </c>
      <c r="AD65" s="44">
        <f>IF('Quiz 1 Grades'!$P57="Graded",'Quiz 1 Grades'!D57,"")</f>
        <v>10</v>
      </c>
      <c r="AE65" s="44">
        <f>IF('Quiz 1 Grades'!$P57="Graded",'Quiz 1 Grades'!E57,"")</f>
        <v>5</v>
      </c>
      <c r="AF65" s="44">
        <f>IF('Quiz 1 Grades'!$P57="Graded",'Quiz 1 Grades'!F57,"")</f>
        <v>5</v>
      </c>
      <c r="AG65" s="44">
        <f>IF('Quiz 1 Grades'!$P57="Graded",'Quiz 1 Grades'!H57,"")</f>
        <v>5</v>
      </c>
      <c r="AH65" s="44">
        <f>IF('Quiz 1 Grades'!$P57="Graded",'Quiz 1 Grades'!I57,"")</f>
        <v>5</v>
      </c>
      <c r="AI65" s="44">
        <f>IF('Quiz 1 Grades'!$P57="Graded",'Quiz 1 Grades'!J57,"")</f>
        <v>5</v>
      </c>
      <c r="AJ65" s="44">
        <f t="shared" si="27"/>
        <v>35</v>
      </c>
      <c r="AK65" s="44">
        <f t="shared" si="28"/>
        <v>28</v>
      </c>
      <c r="AL65" s="44">
        <f t="shared" si="29"/>
        <v>33</v>
      </c>
      <c r="AM65" s="44">
        <f t="shared" si="30"/>
        <v>33</v>
      </c>
      <c r="AN65" s="44">
        <f t="shared" si="31"/>
        <v>33</v>
      </c>
      <c r="AO65" s="44">
        <f t="shared" si="32"/>
        <v>33</v>
      </c>
      <c r="AP65" s="44">
        <f t="shared" si="33"/>
        <v>33</v>
      </c>
    </row>
    <row r="66" spans="1:42" x14ac:dyDescent="0.3">
      <c r="P66" s="40">
        <v>52</v>
      </c>
      <c r="Q66" s="40" t="e">
        <f t="shared" si="20"/>
        <v>#N/A</v>
      </c>
      <c r="R66" s="41" t="str">
        <f t="shared" si="21"/>
        <v/>
      </c>
      <c r="S66" s="41" t="str">
        <f t="shared" si="22"/>
        <v/>
      </c>
      <c r="T66" s="41" t="e">
        <f t="shared" si="23"/>
        <v>#N/A</v>
      </c>
      <c r="U66" s="41" t="str">
        <f t="shared" si="24"/>
        <v/>
      </c>
      <c r="V66" s="41" t="str">
        <f t="shared" si="25"/>
        <v/>
      </c>
      <c r="W66" s="41" t="str">
        <f t="shared" si="26"/>
        <v/>
      </c>
      <c r="AB66" s="44">
        <f>IF('Quiz 1 Grades'!$P58="Graded",'Quiz 1 Grades'!$L58,"")</f>
        <v>41</v>
      </c>
      <c r="AC66" s="44">
        <f>IF('Quiz 1 Grades'!$P58="Graded",'Quiz 1 Grades'!C58,"")</f>
        <v>8</v>
      </c>
      <c r="AD66" s="44">
        <f>IF('Quiz 1 Grades'!$P58="Graded",'Quiz 1 Grades'!D58,"")</f>
        <v>15</v>
      </c>
      <c r="AE66" s="44">
        <f>IF('Quiz 1 Grades'!$P58="Graded",'Quiz 1 Grades'!E58,"")</f>
        <v>4</v>
      </c>
      <c r="AF66" s="44">
        <f>IF('Quiz 1 Grades'!$P58="Graded",'Quiz 1 Grades'!F58,"")</f>
        <v>4</v>
      </c>
      <c r="AG66" s="44">
        <f>IF('Quiz 1 Grades'!$P58="Graded",'Quiz 1 Grades'!H58,"")</f>
        <v>5</v>
      </c>
      <c r="AH66" s="44">
        <f>IF('Quiz 1 Grades'!$P58="Graded",'Quiz 1 Grades'!I58,"")</f>
        <v>0</v>
      </c>
      <c r="AI66" s="44">
        <f>IF('Quiz 1 Grades'!$P58="Graded",'Quiz 1 Grades'!J58,"")</f>
        <v>5</v>
      </c>
      <c r="AJ66" s="44">
        <f t="shared" si="27"/>
        <v>33</v>
      </c>
      <c r="AK66" s="44">
        <f t="shared" si="28"/>
        <v>26</v>
      </c>
      <c r="AL66" s="44">
        <f t="shared" si="29"/>
        <v>37</v>
      </c>
      <c r="AM66" s="44">
        <f t="shared" si="30"/>
        <v>37</v>
      </c>
      <c r="AN66" s="44">
        <f t="shared" si="31"/>
        <v>36</v>
      </c>
      <c r="AO66" s="44">
        <f t="shared" si="32"/>
        <v>41</v>
      </c>
      <c r="AP66" s="44">
        <f t="shared" si="33"/>
        <v>36</v>
      </c>
    </row>
    <row r="67" spans="1:42" x14ac:dyDescent="0.3">
      <c r="P67" s="27" t="s">
        <v>374</v>
      </c>
    </row>
    <row r="68" spans="1:42" ht="22.05" customHeight="1" x14ac:dyDescent="0.3">
      <c r="A68" s="69" t="s">
        <v>375</v>
      </c>
      <c r="B68" s="62"/>
      <c r="C68" s="62"/>
      <c r="D68" s="62"/>
      <c r="E68" s="62"/>
      <c r="F68" s="62"/>
      <c r="G68" s="62"/>
      <c r="H68" s="62"/>
    </row>
    <row r="69" spans="1:42" ht="30" customHeight="1" x14ac:dyDescent="0.3">
      <c r="A69" s="8" t="s">
        <v>9</v>
      </c>
      <c r="B69" s="8" t="s">
        <v>4</v>
      </c>
      <c r="C69" s="8" t="s">
        <v>249</v>
      </c>
      <c r="D69" s="8" t="s">
        <v>21</v>
      </c>
      <c r="E69" s="8" t="s">
        <v>376</v>
      </c>
      <c r="F69" s="8" t="s">
        <v>377</v>
      </c>
      <c r="G69" s="8" t="s">
        <v>378</v>
      </c>
      <c r="H69" s="8" t="s">
        <v>332</v>
      </c>
    </row>
    <row r="70" spans="1:42" x14ac:dyDescent="0.3">
      <c r="A70" s="9">
        <f>'Quiz 1 Grades'!A7</f>
        <v>1</v>
      </c>
      <c r="B70" s="22" t="str">
        <f>'Quiz 1 Grades'!B7</f>
        <v>David Abagwe</v>
      </c>
      <c r="C70" s="9">
        <f>IF(ISNUMBER('Quiz 1 Grades'!L7),'Quiz 1 Grades'!L7,'Quiz 1 Grades'!P7)</f>
        <v>44</v>
      </c>
      <c r="D70" s="12">
        <f t="shared" ref="D70:D101" si="37">IF(ISNUMBER(C70),C70/MaxScore,"")</f>
        <v>0.88</v>
      </c>
      <c r="E70" s="58">
        <f t="shared" ref="E70:E101" si="38">IF(ISNUMBER(C70),(C70-MeanScore)/SDScore,"")</f>
        <v>0.65741487248249775</v>
      </c>
      <c r="F70" s="12">
        <f t="shared" ref="F70:F101" si="39">IF(ISNUMBER(C70),PERCENTRANK(Totals,C70),"")</f>
        <v>0.69299999999999995</v>
      </c>
      <c r="G70" s="12">
        <f t="shared" ref="G70:G101" si="40">IF(ISNUMBER(E70),NORMSDIST(E70),"")</f>
        <v>0.74454290438504134</v>
      </c>
      <c r="H70" s="9" t="str">
        <f t="shared" ref="H70:H101" si="41">IF(ISNUMBER(E70),IF(E70&gt;=1,"Above +1σ",IF(E70&gt;=0,"Mean to +1σ",IF(E70&gt;=-1,"−1σ to mean",IF(E70&gt;=-2,"−2σ to −1σ","Below −2σ")))),"")</f>
        <v>Mean to +1σ</v>
      </c>
    </row>
    <row r="71" spans="1:42" x14ac:dyDescent="0.3">
      <c r="A71" s="9">
        <f>'Quiz 1 Grades'!A8</f>
        <v>2</v>
      </c>
      <c r="B71" s="22" t="str">
        <f>'Quiz 1 Grades'!B8</f>
        <v>Sonu Acharya</v>
      </c>
      <c r="C71" s="9">
        <f>IF(ISNUMBER('Quiz 1 Grades'!L8),'Quiz 1 Grades'!L8,'Quiz 1 Grades'!P8)</f>
        <v>21</v>
      </c>
      <c r="D71" s="12">
        <f t="shared" si="37"/>
        <v>0.42</v>
      </c>
      <c r="E71" s="58">
        <f t="shared" si="38"/>
        <v>-1.9317190431163789</v>
      </c>
      <c r="F71" s="12">
        <f t="shared" si="39"/>
        <v>0.02</v>
      </c>
      <c r="G71" s="12">
        <f t="shared" si="40"/>
        <v>2.6697096513574242E-2</v>
      </c>
      <c r="H71" s="9" t="str">
        <f t="shared" si="41"/>
        <v>−2σ to −1σ</v>
      </c>
    </row>
    <row r="72" spans="1:42" x14ac:dyDescent="0.3">
      <c r="A72" s="9">
        <f>'Quiz 1 Grades'!A9</f>
        <v>3</v>
      </c>
      <c r="B72" s="22" t="str">
        <f>'Quiz 1 Grades'!B9</f>
        <v>Ashton Adams</v>
      </c>
      <c r="C72" s="9">
        <f>IF(ISNUMBER('Quiz 1 Grades'!L9),'Quiz 1 Grades'!L9,'Quiz 1 Grades'!P9)</f>
        <v>43</v>
      </c>
      <c r="D72" s="12">
        <f t="shared" si="37"/>
        <v>0.86</v>
      </c>
      <c r="E72" s="58">
        <f t="shared" si="38"/>
        <v>0.54484383267385095</v>
      </c>
      <c r="F72" s="12">
        <f t="shared" si="39"/>
        <v>0.59099999999999997</v>
      </c>
      <c r="G72" s="12">
        <f t="shared" si="40"/>
        <v>0.70706953547199103</v>
      </c>
      <c r="H72" s="9" t="str">
        <f t="shared" si="41"/>
        <v>Mean to +1σ</v>
      </c>
    </row>
    <row r="73" spans="1:42" x14ac:dyDescent="0.3">
      <c r="A73" s="9">
        <f>'Quiz 1 Grades'!A10</f>
        <v>4</v>
      </c>
      <c r="B73" s="22" t="str">
        <f>'Quiz 1 Grades'!B10</f>
        <v>Hayden Albert</v>
      </c>
      <c r="C73" s="9">
        <f>IF(ISNUMBER('Quiz 1 Grades'!L10),'Quiz 1 Grades'!L10,'Quiz 1 Grades'!P10)</f>
        <v>43</v>
      </c>
      <c r="D73" s="12">
        <f t="shared" si="37"/>
        <v>0.86</v>
      </c>
      <c r="E73" s="58">
        <f t="shared" si="38"/>
        <v>0.54484383267385095</v>
      </c>
      <c r="F73" s="12">
        <f t="shared" si="39"/>
        <v>0.59099999999999997</v>
      </c>
      <c r="G73" s="12">
        <f t="shared" si="40"/>
        <v>0.70706953547199103</v>
      </c>
      <c r="H73" s="9" t="str">
        <f t="shared" si="41"/>
        <v>Mean to +1σ</v>
      </c>
    </row>
    <row r="74" spans="1:42" x14ac:dyDescent="0.3">
      <c r="A74" s="9">
        <f>'Quiz 1 Grades'!A11</f>
        <v>5</v>
      </c>
      <c r="B74" s="22" t="str">
        <f>'Quiz 1 Grades'!B11</f>
        <v>Lani Allen</v>
      </c>
      <c r="C74" s="9">
        <f>IF(ISNUMBER('Quiz 1 Grades'!L11),'Quiz 1 Grades'!L11,'Quiz 1 Grades'!P11)</f>
        <v>50</v>
      </c>
      <c r="D74" s="12">
        <f t="shared" si="37"/>
        <v>1</v>
      </c>
      <c r="E74" s="58">
        <f t="shared" si="38"/>
        <v>1.3328411113343785</v>
      </c>
      <c r="F74" s="12">
        <f t="shared" si="39"/>
        <v>0.91800000000000004</v>
      </c>
      <c r="G74" s="12">
        <f t="shared" si="40"/>
        <v>0.90870802441361143</v>
      </c>
      <c r="H74" s="9" t="str">
        <f t="shared" si="41"/>
        <v>Above +1σ</v>
      </c>
    </row>
    <row r="75" spans="1:42" x14ac:dyDescent="0.3">
      <c r="A75" s="9">
        <f>'Quiz 1 Grades'!A12</f>
        <v>6</v>
      </c>
      <c r="B75" s="22" t="str">
        <f>'Quiz 1 Grades'!B12</f>
        <v>John David Andrade</v>
      </c>
      <c r="C75" s="9">
        <f>IF(ISNUMBER('Quiz 1 Grades'!L12),'Quiz 1 Grades'!L12,'Quiz 1 Grades'!P12)</f>
        <v>32</v>
      </c>
      <c r="D75" s="12">
        <f t="shared" si="37"/>
        <v>0.64</v>
      </c>
      <c r="E75" s="58">
        <f t="shared" si="38"/>
        <v>-0.69343760522126396</v>
      </c>
      <c r="F75" s="12">
        <f t="shared" si="39"/>
        <v>0.26500000000000001</v>
      </c>
      <c r="G75" s="12">
        <f t="shared" si="40"/>
        <v>0.24401748478997587</v>
      </c>
      <c r="H75" s="9" t="str">
        <f t="shared" si="41"/>
        <v>−1σ to mean</v>
      </c>
    </row>
    <row r="76" spans="1:42" x14ac:dyDescent="0.3">
      <c r="A76" s="9">
        <f>'Quiz 1 Grades'!A13</f>
        <v>7</v>
      </c>
      <c r="B76" s="22" t="str">
        <f>'Quiz 1 Grades'!B13</f>
        <v>Landon Atkins</v>
      </c>
      <c r="C76" s="9">
        <f>IF(ISNUMBER('Quiz 1 Grades'!L13),'Quiz 1 Grades'!L13,'Quiz 1 Grades'!P13)</f>
        <v>26</v>
      </c>
      <c r="D76" s="12">
        <f t="shared" si="37"/>
        <v>0.52</v>
      </c>
      <c r="E76" s="58">
        <f t="shared" si="38"/>
        <v>-1.3688638440731447</v>
      </c>
      <c r="F76" s="12">
        <f t="shared" si="39"/>
        <v>8.1000000000000003E-2</v>
      </c>
      <c r="G76" s="12">
        <f t="shared" si="40"/>
        <v>8.5520919737309284E-2</v>
      </c>
      <c r="H76" s="9" t="str">
        <f t="shared" si="41"/>
        <v>−2σ to −1σ</v>
      </c>
    </row>
    <row r="77" spans="1:42" x14ac:dyDescent="0.3">
      <c r="A77" s="9">
        <f>'Quiz 1 Grades'!A14</f>
        <v>8</v>
      </c>
      <c r="B77" s="22" t="str">
        <f>'Quiz 1 Grades'!B14</f>
        <v>Ryan Borkland</v>
      </c>
      <c r="C77" s="9">
        <f>IF(ISNUMBER('Quiz 1 Grades'!L14),'Quiz 1 Grades'!L14,'Quiz 1 Grades'!P14)</f>
        <v>46</v>
      </c>
      <c r="D77" s="12">
        <f t="shared" si="37"/>
        <v>0.92</v>
      </c>
      <c r="E77" s="58">
        <f t="shared" si="38"/>
        <v>0.88255695209979135</v>
      </c>
      <c r="F77" s="12">
        <f t="shared" si="39"/>
        <v>0.77500000000000002</v>
      </c>
      <c r="G77" s="12">
        <f t="shared" si="40"/>
        <v>0.81126215205513585</v>
      </c>
      <c r="H77" s="9" t="str">
        <f t="shared" si="41"/>
        <v>Mean to +1σ</v>
      </c>
    </row>
    <row r="78" spans="1:42" x14ac:dyDescent="0.3">
      <c r="A78" s="9">
        <f>'Quiz 1 Grades'!A15</f>
        <v>9</v>
      </c>
      <c r="B78" s="22" t="str">
        <f>'Quiz 1 Grades'!B15</f>
        <v>Jermy Brown</v>
      </c>
      <c r="C78" s="9">
        <f>IF(ISNUMBER('Quiz 1 Grades'!L15),'Quiz 1 Grades'!L15,'Quiz 1 Grades'!P15)</f>
        <v>44</v>
      </c>
      <c r="D78" s="12">
        <f t="shared" si="37"/>
        <v>0.88</v>
      </c>
      <c r="E78" s="58">
        <f t="shared" si="38"/>
        <v>0.65741487248249775</v>
      </c>
      <c r="F78" s="12">
        <f t="shared" si="39"/>
        <v>0.69299999999999995</v>
      </c>
      <c r="G78" s="12">
        <f t="shared" si="40"/>
        <v>0.74454290438504134</v>
      </c>
      <c r="H78" s="9" t="str">
        <f t="shared" si="41"/>
        <v>Mean to +1σ</v>
      </c>
    </row>
    <row r="79" spans="1:42" x14ac:dyDescent="0.3">
      <c r="A79" s="9">
        <f>'Quiz 1 Grades'!A16</f>
        <v>10</v>
      </c>
      <c r="B79" s="22" t="str">
        <f>'Quiz 1 Grades'!B16</f>
        <v>Eric Calderon</v>
      </c>
      <c r="C79" s="9">
        <f>IF(ISNUMBER('Quiz 1 Grades'!L16),'Quiz 1 Grades'!L16,'Quiz 1 Grades'!P16)</f>
        <v>38</v>
      </c>
      <c r="D79" s="12">
        <f t="shared" si="37"/>
        <v>0.76</v>
      </c>
      <c r="E79" s="58">
        <f t="shared" si="38"/>
        <v>-1.8011366369383105E-2</v>
      </c>
      <c r="F79" s="12">
        <f t="shared" si="39"/>
        <v>0.36699999999999999</v>
      </c>
      <c r="G79" s="12">
        <f t="shared" si="40"/>
        <v>0.49281489291550168</v>
      </c>
      <c r="H79" s="9" t="str">
        <f t="shared" si="41"/>
        <v>−1σ to mean</v>
      </c>
    </row>
    <row r="80" spans="1:42" x14ac:dyDescent="0.3">
      <c r="A80" s="9">
        <f>'Quiz 1 Grades'!A17</f>
        <v>11</v>
      </c>
      <c r="B80" s="22" t="str">
        <f>'Quiz 1 Grades'!B17</f>
        <v>Angel Camarillo</v>
      </c>
      <c r="C80" s="9">
        <f>IF(ISNUMBER('Quiz 1 Grades'!L17),'Quiz 1 Grades'!L17,'Quiz 1 Grades'!P17)</f>
        <v>26</v>
      </c>
      <c r="D80" s="12">
        <f t="shared" si="37"/>
        <v>0.52</v>
      </c>
      <c r="E80" s="58">
        <f t="shared" si="38"/>
        <v>-1.3688638440731447</v>
      </c>
      <c r="F80" s="12">
        <f t="shared" si="39"/>
        <v>8.1000000000000003E-2</v>
      </c>
      <c r="G80" s="12">
        <f t="shared" si="40"/>
        <v>8.5520919737309284E-2</v>
      </c>
      <c r="H80" s="9" t="str">
        <f t="shared" si="41"/>
        <v>−2σ to −1σ</v>
      </c>
    </row>
    <row r="81" spans="1:8" x14ac:dyDescent="0.3">
      <c r="A81" s="9">
        <f>'Quiz 1 Grades'!A18</f>
        <v>12</v>
      </c>
      <c r="B81" s="22" t="str">
        <f>'Quiz 1 Grades'!B18</f>
        <v>Gavin Cappel</v>
      </c>
      <c r="C81" s="9" t="str">
        <f>IF(ISNUMBER('Quiz 1 Grades'!L18),'Quiz 1 Grades'!L18,'Quiz 1 Grades'!P18)</f>
        <v>Missing</v>
      </c>
      <c r="D81" s="12" t="str">
        <f t="shared" si="37"/>
        <v/>
      </c>
      <c r="E81" s="58" t="str">
        <f t="shared" si="38"/>
        <v/>
      </c>
      <c r="F81" s="12" t="str">
        <f t="shared" si="39"/>
        <v/>
      </c>
      <c r="G81" s="12" t="str">
        <f t="shared" si="40"/>
        <v/>
      </c>
      <c r="H81" s="9" t="str">
        <f t="shared" si="41"/>
        <v/>
      </c>
    </row>
    <row r="82" spans="1:8" x14ac:dyDescent="0.3">
      <c r="A82" s="9">
        <f>'Quiz 1 Grades'!A19</f>
        <v>13</v>
      </c>
      <c r="B82" s="22" t="str">
        <f>'Quiz 1 Grades'!B19</f>
        <v>Venditha Chelikani</v>
      </c>
      <c r="C82" s="9">
        <f>IF(ISNUMBER('Quiz 1 Grades'!L19),'Quiz 1 Grades'!L19,'Quiz 1 Grades'!P19)</f>
        <v>48</v>
      </c>
      <c r="D82" s="12">
        <f t="shared" si="37"/>
        <v>0.96</v>
      </c>
      <c r="E82" s="58">
        <f t="shared" si="38"/>
        <v>1.1076990317170849</v>
      </c>
      <c r="F82" s="12">
        <f t="shared" si="39"/>
        <v>0.877</v>
      </c>
      <c r="G82" s="12">
        <f t="shared" si="40"/>
        <v>0.86600409115256238</v>
      </c>
      <c r="H82" s="9" t="str">
        <f t="shared" si="41"/>
        <v>Above +1σ</v>
      </c>
    </row>
    <row r="83" spans="1:8" x14ac:dyDescent="0.3">
      <c r="A83" s="9">
        <f>'Quiz 1 Grades'!A20</f>
        <v>14</v>
      </c>
      <c r="B83" s="22" t="str">
        <f>'Quiz 1 Grades'!B20</f>
        <v>Brisa Colunga</v>
      </c>
      <c r="C83" s="9">
        <f>IF(ISNUMBER('Quiz 1 Grades'!L20),'Quiz 1 Grades'!L20,'Quiz 1 Grades'!P20)</f>
        <v>43</v>
      </c>
      <c r="D83" s="12">
        <f t="shared" si="37"/>
        <v>0.86</v>
      </c>
      <c r="E83" s="58">
        <f t="shared" si="38"/>
        <v>0.54484383267385095</v>
      </c>
      <c r="F83" s="12">
        <f t="shared" si="39"/>
        <v>0.59099999999999997</v>
      </c>
      <c r="G83" s="12">
        <f t="shared" si="40"/>
        <v>0.70706953547199103</v>
      </c>
      <c r="H83" s="9" t="str">
        <f t="shared" si="41"/>
        <v>Mean to +1σ</v>
      </c>
    </row>
    <row r="84" spans="1:8" x14ac:dyDescent="0.3">
      <c r="A84" s="9">
        <f>'Quiz 1 Grades'!A21</f>
        <v>15</v>
      </c>
      <c r="B84" s="22" t="str">
        <f>'Quiz 1 Grades'!B21</f>
        <v>Axel Cruz-Hernandez</v>
      </c>
      <c r="C84" s="9">
        <f>IF(ISNUMBER('Quiz 1 Grades'!L21),'Quiz 1 Grades'!L21,'Quiz 1 Grades'!P21)</f>
        <v>29</v>
      </c>
      <c r="D84" s="12">
        <f t="shared" si="37"/>
        <v>0.57999999999999996</v>
      </c>
      <c r="E84" s="58">
        <f t="shared" si="38"/>
        <v>-1.0311507246472043</v>
      </c>
      <c r="F84" s="12">
        <f t="shared" si="39"/>
        <v>0.20399999999999999</v>
      </c>
      <c r="G84" s="12">
        <f t="shared" si="40"/>
        <v>0.15123507193366439</v>
      </c>
      <c r="H84" s="9" t="str">
        <f t="shared" si="41"/>
        <v>−2σ to −1σ</v>
      </c>
    </row>
    <row r="85" spans="1:8" x14ac:dyDescent="0.3">
      <c r="A85" s="9">
        <f>'Quiz 1 Grades'!A22</f>
        <v>16</v>
      </c>
      <c r="B85" s="22" t="str">
        <f>'Quiz 1 Grades'!B22</f>
        <v>Devin Cuellar</v>
      </c>
      <c r="C85" s="9">
        <f>IF(ISNUMBER('Quiz 1 Grades'!L22),'Quiz 1 Grades'!L22,'Quiz 1 Grades'!P22)</f>
        <v>43</v>
      </c>
      <c r="D85" s="12">
        <f t="shared" si="37"/>
        <v>0.86</v>
      </c>
      <c r="E85" s="58">
        <f t="shared" si="38"/>
        <v>0.54484383267385095</v>
      </c>
      <c r="F85" s="12">
        <f t="shared" si="39"/>
        <v>0.59099999999999997</v>
      </c>
      <c r="G85" s="12">
        <f t="shared" si="40"/>
        <v>0.70706953547199103</v>
      </c>
      <c r="H85" s="9" t="str">
        <f t="shared" si="41"/>
        <v>Mean to +1σ</v>
      </c>
    </row>
    <row r="86" spans="1:8" x14ac:dyDescent="0.3">
      <c r="A86" s="9">
        <f>'Quiz 1 Grades'!A23</f>
        <v>17</v>
      </c>
      <c r="B86" s="22" t="str">
        <f>'Quiz 1 Grades'!B23</f>
        <v>Mia Cuellar</v>
      </c>
      <c r="C86" s="9">
        <f>IF(ISNUMBER('Quiz 1 Grades'!L23),'Quiz 1 Grades'!L23,'Quiz 1 Grades'!P23)</f>
        <v>26</v>
      </c>
      <c r="D86" s="12">
        <f t="shared" si="37"/>
        <v>0.52</v>
      </c>
      <c r="E86" s="58">
        <f t="shared" si="38"/>
        <v>-1.3688638440731447</v>
      </c>
      <c r="F86" s="12">
        <f t="shared" si="39"/>
        <v>8.1000000000000003E-2</v>
      </c>
      <c r="G86" s="12">
        <f t="shared" si="40"/>
        <v>8.5520919737309284E-2</v>
      </c>
      <c r="H86" s="9" t="str">
        <f t="shared" si="41"/>
        <v>−2σ to −1σ</v>
      </c>
    </row>
    <row r="87" spans="1:8" x14ac:dyDescent="0.3">
      <c r="A87" s="9">
        <f>'Quiz 1 Grades'!A24</f>
        <v>18</v>
      </c>
      <c r="B87" s="22" t="str">
        <f>'Quiz 1 Grades'!B24</f>
        <v>Trevin Cutrer</v>
      </c>
      <c r="C87" s="9">
        <f>IF(ISNUMBER('Quiz 1 Grades'!L24),'Quiz 1 Grades'!L24,'Quiz 1 Grades'!P24)</f>
        <v>28</v>
      </c>
      <c r="D87" s="12">
        <f t="shared" si="37"/>
        <v>0.56000000000000005</v>
      </c>
      <c r="E87" s="58">
        <f t="shared" si="38"/>
        <v>-1.1437217644558511</v>
      </c>
      <c r="F87" s="12">
        <f t="shared" si="39"/>
        <v>0.16300000000000001</v>
      </c>
      <c r="G87" s="12">
        <f t="shared" si="40"/>
        <v>0.12636952216207284</v>
      </c>
      <c r="H87" s="9" t="str">
        <f t="shared" si="41"/>
        <v>−2σ to −1σ</v>
      </c>
    </row>
    <row r="88" spans="1:8" x14ac:dyDescent="0.3">
      <c r="A88" s="9">
        <f>'Quiz 1 Grades'!A25</f>
        <v>19</v>
      </c>
      <c r="B88" s="22" t="str">
        <f>'Quiz 1 Grades'!B25</f>
        <v>Elizabeth Dillah</v>
      </c>
      <c r="C88" s="9">
        <f>IF(ISNUMBER('Quiz 1 Grades'!L25),'Quiz 1 Grades'!L25,'Quiz 1 Grades'!P25)</f>
        <v>23</v>
      </c>
      <c r="D88" s="12">
        <f t="shared" si="37"/>
        <v>0.46</v>
      </c>
      <c r="E88" s="58">
        <f t="shared" si="38"/>
        <v>-1.7065769634990851</v>
      </c>
      <c r="F88" s="12">
        <f t="shared" si="39"/>
        <v>0.04</v>
      </c>
      <c r="G88" s="12">
        <f t="shared" si="40"/>
        <v>4.3950354974612568E-2</v>
      </c>
      <c r="H88" s="9" t="str">
        <f t="shared" si="41"/>
        <v>−2σ to −1σ</v>
      </c>
    </row>
    <row r="89" spans="1:8" x14ac:dyDescent="0.3">
      <c r="A89" s="9">
        <f>'Quiz 1 Grades'!A26</f>
        <v>20</v>
      </c>
      <c r="B89" s="22" t="str">
        <f>'Quiz 1 Grades'!B26</f>
        <v>Jack Elsas</v>
      </c>
      <c r="C89" s="9">
        <f>IF(ISNUMBER('Quiz 1 Grades'!L26),'Quiz 1 Grades'!L26,'Quiz 1 Grades'!P26)</f>
        <v>50</v>
      </c>
      <c r="D89" s="12">
        <f t="shared" si="37"/>
        <v>1</v>
      </c>
      <c r="E89" s="58">
        <f t="shared" si="38"/>
        <v>1.3328411113343785</v>
      </c>
      <c r="F89" s="12">
        <f t="shared" si="39"/>
        <v>0.91800000000000004</v>
      </c>
      <c r="G89" s="12">
        <f t="shared" si="40"/>
        <v>0.90870802441361143</v>
      </c>
      <c r="H89" s="9" t="str">
        <f t="shared" si="41"/>
        <v>Above +1σ</v>
      </c>
    </row>
    <row r="90" spans="1:8" x14ac:dyDescent="0.3">
      <c r="A90" s="9">
        <f>'Quiz 1 Grades'!A27</f>
        <v>21</v>
      </c>
      <c r="B90" s="22" t="str">
        <f>'Quiz 1 Grades'!B27</f>
        <v>Connor Felux</v>
      </c>
      <c r="C90" s="9">
        <f>IF(ISNUMBER('Quiz 1 Grades'!L27),'Quiz 1 Grades'!L27,'Quiz 1 Grades'!P27)</f>
        <v>46</v>
      </c>
      <c r="D90" s="12">
        <f t="shared" si="37"/>
        <v>0.92</v>
      </c>
      <c r="E90" s="58">
        <f t="shared" si="38"/>
        <v>0.88255695209979135</v>
      </c>
      <c r="F90" s="12">
        <f t="shared" si="39"/>
        <v>0.77500000000000002</v>
      </c>
      <c r="G90" s="12">
        <f t="shared" si="40"/>
        <v>0.81126215205513585</v>
      </c>
      <c r="H90" s="9" t="str">
        <f t="shared" si="41"/>
        <v>Mean to +1σ</v>
      </c>
    </row>
    <row r="91" spans="1:8" x14ac:dyDescent="0.3">
      <c r="A91" s="9">
        <f>'Quiz 1 Grades'!A28</f>
        <v>22</v>
      </c>
      <c r="B91" s="22" t="str">
        <f>'Quiz 1 Grades'!B28</f>
        <v>Hunter Gates</v>
      </c>
      <c r="C91" s="9">
        <f>IF(ISNUMBER('Quiz 1 Grades'!L28),'Quiz 1 Grades'!L28,'Quiz 1 Grades'!P28)</f>
        <v>46</v>
      </c>
      <c r="D91" s="12">
        <f t="shared" si="37"/>
        <v>0.92</v>
      </c>
      <c r="E91" s="58">
        <f t="shared" si="38"/>
        <v>0.88255695209979135</v>
      </c>
      <c r="F91" s="12">
        <f t="shared" si="39"/>
        <v>0.77500000000000002</v>
      </c>
      <c r="G91" s="12">
        <f t="shared" si="40"/>
        <v>0.81126215205513585</v>
      </c>
      <c r="H91" s="9" t="str">
        <f t="shared" si="41"/>
        <v>Mean to +1σ</v>
      </c>
    </row>
    <row r="92" spans="1:8" x14ac:dyDescent="0.3">
      <c r="A92" s="9">
        <f>'Quiz 1 Grades'!A29</f>
        <v>23</v>
      </c>
      <c r="B92" s="22" t="str">
        <f>'Quiz 1 Grades'!B29</f>
        <v>Brinda Gayen</v>
      </c>
      <c r="C92" s="9">
        <f>IF(ISNUMBER('Quiz 1 Grades'!L29),'Quiz 1 Grades'!L29,'Quiz 1 Grades'!P29)</f>
        <v>28</v>
      </c>
      <c r="D92" s="12">
        <f t="shared" si="37"/>
        <v>0.56000000000000005</v>
      </c>
      <c r="E92" s="58">
        <f t="shared" si="38"/>
        <v>-1.1437217644558511</v>
      </c>
      <c r="F92" s="12">
        <f t="shared" si="39"/>
        <v>0.16300000000000001</v>
      </c>
      <c r="G92" s="12">
        <f t="shared" si="40"/>
        <v>0.12636952216207284</v>
      </c>
      <c r="H92" s="9" t="str">
        <f t="shared" si="41"/>
        <v>−2σ to −1σ</v>
      </c>
    </row>
    <row r="93" spans="1:8" x14ac:dyDescent="0.3">
      <c r="A93" s="9">
        <f>'Quiz 1 Grades'!A30</f>
        <v>24</v>
      </c>
      <c r="B93" s="22" t="str">
        <f>'Quiz 1 Grades'!B30</f>
        <v>Victoria Gaytan</v>
      </c>
      <c r="C93" s="9">
        <f>IF(ISNUMBER('Quiz 1 Grades'!L30),'Quiz 1 Grades'!L30,'Quiz 1 Grades'!P30)</f>
        <v>46</v>
      </c>
      <c r="D93" s="12">
        <f t="shared" si="37"/>
        <v>0.92</v>
      </c>
      <c r="E93" s="58">
        <f t="shared" si="38"/>
        <v>0.88255695209979135</v>
      </c>
      <c r="F93" s="12">
        <f t="shared" si="39"/>
        <v>0.77500000000000002</v>
      </c>
      <c r="G93" s="12">
        <f t="shared" si="40"/>
        <v>0.81126215205513585</v>
      </c>
      <c r="H93" s="9" t="str">
        <f t="shared" si="41"/>
        <v>Mean to +1σ</v>
      </c>
    </row>
    <row r="94" spans="1:8" x14ac:dyDescent="0.3">
      <c r="A94" s="9">
        <f>'Quiz 1 Grades'!A31</f>
        <v>25</v>
      </c>
      <c r="B94" s="22" t="str">
        <f>'Quiz 1 Grades'!B31</f>
        <v>Jocelyn Gonzalez</v>
      </c>
      <c r="C94" s="9">
        <f>IF(ISNUMBER('Quiz 1 Grades'!L31),'Quiz 1 Grades'!L31,'Quiz 1 Grades'!P31)</f>
        <v>42</v>
      </c>
      <c r="D94" s="12">
        <f t="shared" si="37"/>
        <v>0.84</v>
      </c>
      <c r="E94" s="58">
        <f t="shared" si="38"/>
        <v>0.43227279286520409</v>
      </c>
      <c r="F94" s="12">
        <f t="shared" si="39"/>
        <v>0.57099999999999995</v>
      </c>
      <c r="G94" s="12">
        <f t="shared" si="40"/>
        <v>0.66722842056005005</v>
      </c>
      <c r="H94" s="9" t="str">
        <f t="shared" si="41"/>
        <v>Mean to +1σ</v>
      </c>
    </row>
    <row r="95" spans="1:8" x14ac:dyDescent="0.3">
      <c r="A95" s="9">
        <f>'Quiz 1 Grades'!A32</f>
        <v>26</v>
      </c>
      <c r="B95" s="22" t="str">
        <f>'Quiz 1 Grades'!B32</f>
        <v>Michelle Gutierrez</v>
      </c>
      <c r="C95" s="9" t="str">
        <f>IF(ISNUMBER('Quiz 1 Grades'!L32),'Quiz 1 Grades'!L32,'Quiz 1 Grades'!P32)</f>
        <v>Missing</v>
      </c>
      <c r="D95" s="12" t="str">
        <f t="shared" si="37"/>
        <v/>
      </c>
      <c r="E95" s="58" t="str">
        <f t="shared" si="38"/>
        <v/>
      </c>
      <c r="F95" s="12" t="str">
        <f t="shared" si="39"/>
        <v/>
      </c>
      <c r="G95" s="12" t="str">
        <f t="shared" si="40"/>
        <v/>
      </c>
      <c r="H95" s="9" t="str">
        <f t="shared" si="41"/>
        <v/>
      </c>
    </row>
    <row r="96" spans="1:8" x14ac:dyDescent="0.3">
      <c r="A96" s="9">
        <f>'Quiz 1 Grades'!A33</f>
        <v>27</v>
      </c>
      <c r="B96" s="22" t="str">
        <f>'Quiz 1 Grades'!B33</f>
        <v>Rachel Holmes</v>
      </c>
      <c r="C96" s="9">
        <f>IF(ISNUMBER('Quiz 1 Grades'!L33),'Quiz 1 Grades'!L33,'Quiz 1 Grades'!P33)</f>
        <v>27</v>
      </c>
      <c r="D96" s="12">
        <f t="shared" si="37"/>
        <v>0.54</v>
      </c>
      <c r="E96" s="58">
        <f t="shared" si="38"/>
        <v>-1.2562928042644979</v>
      </c>
      <c r="F96" s="12">
        <f t="shared" si="39"/>
        <v>0.14199999999999999</v>
      </c>
      <c r="G96" s="12">
        <f t="shared" si="40"/>
        <v>0.10450491492975567</v>
      </c>
      <c r="H96" s="9" t="str">
        <f t="shared" si="41"/>
        <v>−2σ to −1σ</v>
      </c>
    </row>
    <row r="97" spans="1:8" x14ac:dyDescent="0.3">
      <c r="A97" s="9">
        <f>'Quiz 1 Grades'!A34</f>
        <v>28</v>
      </c>
      <c r="B97" s="22" t="str">
        <f>'Quiz 1 Grades'!B34</f>
        <v>Emily Ickert</v>
      </c>
      <c r="C97" s="9">
        <f>IF(ISNUMBER('Quiz 1 Grades'!L34),'Quiz 1 Grades'!L34,'Quiz 1 Grades'!P34)</f>
        <v>50</v>
      </c>
      <c r="D97" s="12">
        <f t="shared" si="37"/>
        <v>1</v>
      </c>
      <c r="E97" s="58">
        <f t="shared" si="38"/>
        <v>1.3328411113343785</v>
      </c>
      <c r="F97" s="12">
        <f t="shared" si="39"/>
        <v>0.91800000000000004</v>
      </c>
      <c r="G97" s="12">
        <f t="shared" si="40"/>
        <v>0.90870802441361143</v>
      </c>
      <c r="H97" s="9" t="str">
        <f t="shared" si="41"/>
        <v>Above +1σ</v>
      </c>
    </row>
    <row r="98" spans="1:8" x14ac:dyDescent="0.3">
      <c r="A98" s="9">
        <f>'Quiz 1 Grades'!A35</f>
        <v>29</v>
      </c>
      <c r="B98" s="22" t="str">
        <f>'Quiz 1 Grades'!B35</f>
        <v>Mihal Jacob</v>
      </c>
      <c r="C98" s="9">
        <f>IF(ISNUMBER('Quiz 1 Grades'!L35),'Quiz 1 Grades'!L35,'Quiz 1 Grades'!P35)</f>
        <v>36</v>
      </c>
      <c r="D98" s="12">
        <f t="shared" si="37"/>
        <v>0.72</v>
      </c>
      <c r="E98" s="58">
        <f t="shared" si="38"/>
        <v>-0.24315344598667671</v>
      </c>
      <c r="F98" s="12">
        <f t="shared" si="39"/>
        <v>0.32600000000000001</v>
      </c>
      <c r="G98" s="12">
        <f t="shared" si="40"/>
        <v>0.40394326469636122</v>
      </c>
      <c r="H98" s="9" t="str">
        <f t="shared" si="41"/>
        <v>−1σ to mean</v>
      </c>
    </row>
    <row r="99" spans="1:8" x14ac:dyDescent="0.3">
      <c r="A99" s="9">
        <f>'Quiz 1 Grades'!A36</f>
        <v>30</v>
      </c>
      <c r="B99" s="22" t="str">
        <f>'Quiz 1 Grades'!B36</f>
        <v>Alyssa Jasso</v>
      </c>
      <c r="C99" s="9">
        <f>IF(ISNUMBER('Quiz 1 Grades'!L36),'Quiz 1 Grades'!L36,'Quiz 1 Grades'!P36)</f>
        <v>39</v>
      </c>
      <c r="D99" s="12">
        <f t="shared" si="37"/>
        <v>0.78</v>
      </c>
      <c r="E99" s="58">
        <f t="shared" si="38"/>
        <v>9.4559673439263706E-2</v>
      </c>
      <c r="F99" s="12">
        <f t="shared" si="39"/>
        <v>0.44800000000000001</v>
      </c>
      <c r="G99" s="12">
        <f t="shared" si="40"/>
        <v>0.53766770890689286</v>
      </c>
      <c r="H99" s="9" t="str">
        <f t="shared" si="41"/>
        <v>Mean to +1σ</v>
      </c>
    </row>
    <row r="100" spans="1:8" x14ac:dyDescent="0.3">
      <c r="A100" s="9">
        <f>'Quiz 1 Grades'!A37</f>
        <v>31</v>
      </c>
      <c r="B100" s="22" t="str">
        <f>'Quiz 1 Grades'!B37</f>
        <v>Isabella Juarez</v>
      </c>
      <c r="C100" s="9">
        <f>IF(ISNUMBER('Quiz 1 Grades'!L37),'Quiz 1 Grades'!L37,'Quiz 1 Grades'!P37)</f>
        <v>50</v>
      </c>
      <c r="D100" s="12">
        <f t="shared" si="37"/>
        <v>1</v>
      </c>
      <c r="E100" s="58">
        <f t="shared" si="38"/>
        <v>1.3328411113343785</v>
      </c>
      <c r="F100" s="12">
        <f t="shared" si="39"/>
        <v>0.91800000000000004</v>
      </c>
      <c r="G100" s="12">
        <f t="shared" si="40"/>
        <v>0.90870802441361143</v>
      </c>
      <c r="H100" s="9" t="str">
        <f t="shared" si="41"/>
        <v>Above +1σ</v>
      </c>
    </row>
    <row r="101" spans="1:8" x14ac:dyDescent="0.3">
      <c r="A101" s="9">
        <f>'Quiz 1 Grades'!A38</f>
        <v>32</v>
      </c>
      <c r="B101" s="22" t="str">
        <f>'Quiz 1 Grades'!B38</f>
        <v>Maryam Ka</v>
      </c>
      <c r="C101" s="9">
        <f>IF(ISNUMBER('Quiz 1 Grades'!L38),'Quiz 1 Grades'!L38,'Quiz 1 Grades'!P38)</f>
        <v>23</v>
      </c>
      <c r="D101" s="12">
        <f t="shared" si="37"/>
        <v>0.46</v>
      </c>
      <c r="E101" s="58">
        <f t="shared" si="38"/>
        <v>-1.7065769634990851</v>
      </c>
      <c r="F101" s="12">
        <f t="shared" si="39"/>
        <v>0.04</v>
      </c>
      <c r="G101" s="12">
        <f t="shared" si="40"/>
        <v>4.3950354974612568E-2</v>
      </c>
      <c r="H101" s="9" t="str">
        <f t="shared" si="41"/>
        <v>−2σ to −1σ</v>
      </c>
    </row>
    <row r="102" spans="1:8" x14ac:dyDescent="0.3">
      <c r="A102" s="9">
        <f>'Quiz 1 Grades'!A39</f>
        <v>33</v>
      </c>
      <c r="B102" s="22" t="str">
        <f>'Quiz 1 Grades'!B39</f>
        <v>Jenna Koestler</v>
      </c>
      <c r="C102" s="9">
        <f>IF(ISNUMBER('Quiz 1 Grades'!L39),'Quiz 1 Grades'!L39,'Quiz 1 Grades'!P39)</f>
        <v>35</v>
      </c>
      <c r="D102" s="12">
        <f t="shared" ref="D102:D121" si="42">IF(ISNUMBER(C102),C102/MaxScore,"")</f>
        <v>0.7</v>
      </c>
      <c r="E102" s="58">
        <f t="shared" ref="E102:E121" si="43">IF(ISNUMBER(C102),(C102-MeanScore)/SDScore,"")</f>
        <v>-0.35572448579532351</v>
      </c>
      <c r="F102" s="12">
        <f t="shared" ref="F102:F121" si="44">IF(ISNUMBER(C102),PERCENTRANK(Totals,C102),"")</f>
        <v>0.30599999999999999</v>
      </c>
      <c r="G102" s="12">
        <f t="shared" ref="G102:G121" si="45">IF(ISNUMBER(E102),NORMSDIST(E102),"")</f>
        <v>0.36102345295874666</v>
      </c>
      <c r="H102" s="9" t="str">
        <f t="shared" ref="H102:H121" si="46">IF(ISNUMBER(E102),IF(E102&gt;=1,"Above +1σ",IF(E102&gt;=0,"Mean to +1σ",IF(E102&gt;=-1,"−1σ to mean",IF(E102&gt;=-2,"−2σ to −1σ","Below −2σ")))),"")</f>
        <v>−1σ to mean</v>
      </c>
    </row>
    <row r="103" spans="1:8" x14ac:dyDescent="0.3">
      <c r="A103" s="9">
        <f>'Quiz 1 Grades'!A40</f>
        <v>34</v>
      </c>
      <c r="B103" s="22" t="str">
        <f>'Quiz 1 Grades'!B40</f>
        <v>Shawn Kwende</v>
      </c>
      <c r="C103" s="9">
        <f>IF(ISNUMBER('Quiz 1 Grades'!L40),'Quiz 1 Grades'!L40,'Quiz 1 Grades'!P40)</f>
        <v>46</v>
      </c>
      <c r="D103" s="12">
        <f t="shared" si="42"/>
        <v>0.92</v>
      </c>
      <c r="E103" s="58">
        <f t="shared" si="43"/>
        <v>0.88255695209979135</v>
      </c>
      <c r="F103" s="12">
        <f t="shared" si="44"/>
        <v>0.77500000000000002</v>
      </c>
      <c r="G103" s="12">
        <f t="shared" si="45"/>
        <v>0.81126215205513585</v>
      </c>
      <c r="H103" s="9" t="str">
        <f t="shared" si="46"/>
        <v>Mean to +1σ</v>
      </c>
    </row>
    <row r="104" spans="1:8" x14ac:dyDescent="0.3">
      <c r="A104" s="9">
        <f>'Quiz 1 Grades'!A41</f>
        <v>35</v>
      </c>
      <c r="B104" s="22" t="str">
        <f>'Quiz 1 Grades'!B41</f>
        <v>Kara Larsen</v>
      </c>
      <c r="C104" s="9">
        <f>IF(ISNUMBER('Quiz 1 Grades'!L41),'Quiz 1 Grades'!L41,'Quiz 1 Grades'!P41)</f>
        <v>41</v>
      </c>
      <c r="D104" s="12">
        <f t="shared" si="42"/>
        <v>0.82</v>
      </c>
      <c r="E104" s="58">
        <f t="shared" si="43"/>
        <v>0.31970175305655729</v>
      </c>
      <c r="F104" s="12">
        <f t="shared" si="44"/>
        <v>0.51</v>
      </c>
      <c r="G104" s="12">
        <f t="shared" si="45"/>
        <v>0.62540278463449028</v>
      </c>
      <c r="H104" s="9" t="str">
        <f t="shared" si="46"/>
        <v>Mean to +1σ</v>
      </c>
    </row>
    <row r="105" spans="1:8" x14ac:dyDescent="0.3">
      <c r="A105" s="9">
        <f>'Quiz 1 Grades'!A42</f>
        <v>36</v>
      </c>
      <c r="B105" s="22" t="str">
        <f>'Quiz 1 Grades'!B42</f>
        <v>Diego Leal</v>
      </c>
      <c r="C105" s="9">
        <f>IF(ISNUMBER('Quiz 1 Grades'!L42),'Quiz 1 Grades'!L42,'Quiz 1 Grades'!P42)</f>
        <v>16</v>
      </c>
      <c r="D105" s="12">
        <f t="shared" si="42"/>
        <v>0.32</v>
      </c>
      <c r="E105" s="58">
        <f t="shared" si="43"/>
        <v>-2.4945742421596129</v>
      </c>
      <c r="F105" s="12">
        <f t="shared" si="44"/>
        <v>0</v>
      </c>
      <c r="G105" s="12">
        <f t="shared" si="45"/>
        <v>6.3054171107654227E-3</v>
      </c>
      <c r="H105" s="9" t="str">
        <f t="shared" si="46"/>
        <v>Below −2σ</v>
      </c>
    </row>
    <row r="106" spans="1:8" x14ac:dyDescent="0.3">
      <c r="A106" s="9">
        <f>'Quiz 1 Grades'!A43</f>
        <v>37</v>
      </c>
      <c r="B106" s="22" t="str">
        <f>'Quiz 1 Grades'!B43</f>
        <v>Valeria Leon</v>
      </c>
      <c r="C106" s="9">
        <f>IF(ISNUMBER('Quiz 1 Grades'!L43),'Quiz 1 Grades'!L43,'Quiz 1 Grades'!P43)</f>
        <v>50</v>
      </c>
      <c r="D106" s="12">
        <f t="shared" si="42"/>
        <v>1</v>
      </c>
      <c r="E106" s="58">
        <f t="shared" si="43"/>
        <v>1.3328411113343785</v>
      </c>
      <c r="F106" s="12">
        <f t="shared" si="44"/>
        <v>0.91800000000000004</v>
      </c>
      <c r="G106" s="12">
        <f t="shared" si="45"/>
        <v>0.90870802441361143</v>
      </c>
      <c r="H106" s="9" t="str">
        <f t="shared" si="46"/>
        <v>Above +1σ</v>
      </c>
    </row>
    <row r="107" spans="1:8" x14ac:dyDescent="0.3">
      <c r="A107" s="9">
        <f>'Quiz 1 Grades'!A44</f>
        <v>38</v>
      </c>
      <c r="B107" s="22" t="str">
        <f>'Quiz 1 Grades'!B44</f>
        <v>Aaron Linhart</v>
      </c>
      <c r="C107" s="9">
        <f>IF(ISNUMBER('Quiz 1 Grades'!L44),'Quiz 1 Grades'!L44,'Quiz 1 Grades'!P44)</f>
        <v>45</v>
      </c>
      <c r="D107" s="12">
        <f t="shared" si="42"/>
        <v>0.9</v>
      </c>
      <c r="E107" s="58">
        <f t="shared" si="43"/>
        <v>0.76998591229114455</v>
      </c>
      <c r="F107" s="12">
        <f t="shared" si="44"/>
        <v>0.755</v>
      </c>
      <c r="G107" s="12">
        <f t="shared" si="45"/>
        <v>0.77934587529413168</v>
      </c>
      <c r="H107" s="9" t="str">
        <f t="shared" si="46"/>
        <v>Mean to +1σ</v>
      </c>
    </row>
    <row r="108" spans="1:8" x14ac:dyDescent="0.3">
      <c r="A108" s="9">
        <f>'Quiz 1 Grades'!A45</f>
        <v>39</v>
      </c>
      <c r="B108" s="22" t="str">
        <f>'Quiz 1 Grades'!B45</f>
        <v>Jared O'neal</v>
      </c>
      <c r="C108" s="9">
        <f>IF(ISNUMBER('Quiz 1 Grades'!L45),'Quiz 1 Grades'!L45,'Quiz 1 Grades'!P45)</f>
        <v>33</v>
      </c>
      <c r="D108" s="12">
        <f t="shared" si="42"/>
        <v>0.66</v>
      </c>
      <c r="E108" s="58">
        <f t="shared" si="43"/>
        <v>-0.58086656541261716</v>
      </c>
      <c r="F108" s="12">
        <f t="shared" si="44"/>
        <v>0.28499999999999998</v>
      </c>
      <c r="G108" s="12">
        <f t="shared" si="45"/>
        <v>0.28066519387379885</v>
      </c>
      <c r="H108" s="9" t="str">
        <f t="shared" si="46"/>
        <v>−1σ to mean</v>
      </c>
    </row>
    <row r="109" spans="1:8" x14ac:dyDescent="0.3">
      <c r="A109" s="9">
        <f>'Quiz 1 Grades'!A46</f>
        <v>40</v>
      </c>
      <c r="B109" s="22" t="str">
        <f>'Quiz 1 Grades'!B46</f>
        <v>Daniela Osorio</v>
      </c>
      <c r="C109" s="9">
        <f>IF(ISNUMBER('Quiz 1 Grades'!L46),'Quiz 1 Grades'!L46,'Quiz 1 Grades'!P46)</f>
        <v>48</v>
      </c>
      <c r="D109" s="12">
        <f t="shared" si="42"/>
        <v>0.96</v>
      </c>
      <c r="E109" s="58">
        <f t="shared" si="43"/>
        <v>1.1076990317170849</v>
      </c>
      <c r="F109" s="12">
        <f t="shared" si="44"/>
        <v>0.877</v>
      </c>
      <c r="G109" s="12">
        <f t="shared" si="45"/>
        <v>0.86600409115256238</v>
      </c>
      <c r="H109" s="9" t="str">
        <f t="shared" si="46"/>
        <v>Above +1σ</v>
      </c>
    </row>
    <row r="110" spans="1:8" x14ac:dyDescent="0.3">
      <c r="A110" s="9">
        <f>'Quiz 1 Grades'!A47</f>
        <v>41</v>
      </c>
      <c r="B110" s="22" t="str">
        <f>'Quiz 1 Grades'!B47</f>
        <v>Yasmine Padilla</v>
      </c>
      <c r="C110" s="9">
        <f>IF(ISNUMBER('Quiz 1 Grades'!L47),'Quiz 1 Grades'!L47,'Quiz 1 Grades'!P47)</f>
        <v>40</v>
      </c>
      <c r="D110" s="12">
        <f t="shared" si="42"/>
        <v>0.8</v>
      </c>
      <c r="E110" s="58">
        <f t="shared" si="43"/>
        <v>0.20713071324791049</v>
      </c>
      <c r="F110" s="12">
        <f t="shared" si="44"/>
        <v>0.46899999999999997</v>
      </c>
      <c r="G110" s="12">
        <f t="shared" si="45"/>
        <v>0.58204611175983323</v>
      </c>
      <c r="H110" s="9" t="str">
        <f t="shared" si="46"/>
        <v>Mean to +1σ</v>
      </c>
    </row>
    <row r="111" spans="1:8" x14ac:dyDescent="0.3">
      <c r="A111" s="9">
        <f>'Quiz 1 Grades'!A48</f>
        <v>42</v>
      </c>
      <c r="B111" s="22" t="str">
        <f>'Quiz 1 Grades'!B48</f>
        <v>Macie Perrio</v>
      </c>
      <c r="C111" s="9">
        <f>IF(ISNUMBER('Quiz 1 Grades'!L48),'Quiz 1 Grades'!L48,'Quiz 1 Grades'!P48)</f>
        <v>29</v>
      </c>
      <c r="D111" s="12">
        <f t="shared" si="42"/>
        <v>0.57999999999999996</v>
      </c>
      <c r="E111" s="58">
        <f t="shared" si="43"/>
        <v>-1.0311507246472043</v>
      </c>
      <c r="F111" s="12">
        <f t="shared" si="44"/>
        <v>0.20399999999999999</v>
      </c>
      <c r="G111" s="12">
        <f t="shared" si="45"/>
        <v>0.15123507193366439</v>
      </c>
      <c r="H111" s="9" t="str">
        <f t="shared" si="46"/>
        <v>−2σ to −1σ</v>
      </c>
    </row>
    <row r="112" spans="1:8" x14ac:dyDescent="0.3">
      <c r="A112" s="9">
        <f>'Quiz 1 Grades'!A49</f>
        <v>43</v>
      </c>
      <c r="B112" s="22" t="str">
        <f>'Quiz 1 Grades'!B49</f>
        <v>Emmalie Potter</v>
      </c>
      <c r="C112" s="9">
        <f>IF(ISNUMBER('Quiz 1 Grades'!L49),'Quiz 1 Grades'!L49,'Quiz 1 Grades'!P49)</f>
        <v>38</v>
      </c>
      <c r="D112" s="12">
        <f t="shared" si="42"/>
        <v>0.76</v>
      </c>
      <c r="E112" s="58">
        <f t="shared" si="43"/>
        <v>-1.8011366369383105E-2</v>
      </c>
      <c r="F112" s="12">
        <f t="shared" si="44"/>
        <v>0.36699999999999999</v>
      </c>
      <c r="G112" s="12">
        <f t="shared" si="45"/>
        <v>0.49281489291550168</v>
      </c>
      <c r="H112" s="9" t="str">
        <f t="shared" si="46"/>
        <v>−1σ to mean</v>
      </c>
    </row>
    <row r="113" spans="1:8" x14ac:dyDescent="0.3">
      <c r="A113" s="9">
        <f>'Quiz 1 Grades'!A50</f>
        <v>44</v>
      </c>
      <c r="B113" s="22" t="str">
        <f>'Quiz 1 Grades'!B50</f>
        <v>Luke Presa</v>
      </c>
      <c r="C113" s="9">
        <f>IF(ISNUMBER('Quiz 1 Grades'!L50),'Quiz 1 Grades'!L50,'Quiz 1 Grades'!P50)</f>
        <v>38</v>
      </c>
      <c r="D113" s="12">
        <f t="shared" si="42"/>
        <v>0.76</v>
      </c>
      <c r="E113" s="58">
        <f t="shared" si="43"/>
        <v>-1.8011366369383105E-2</v>
      </c>
      <c r="F113" s="12">
        <f t="shared" si="44"/>
        <v>0.36699999999999999</v>
      </c>
      <c r="G113" s="12">
        <f t="shared" si="45"/>
        <v>0.49281489291550168</v>
      </c>
      <c r="H113" s="9" t="str">
        <f t="shared" si="46"/>
        <v>−1σ to mean</v>
      </c>
    </row>
    <row r="114" spans="1:8" x14ac:dyDescent="0.3">
      <c r="A114" s="9">
        <f>'Quiz 1 Grades'!A51</f>
        <v>45</v>
      </c>
      <c r="B114" s="22" t="str">
        <f>'Quiz 1 Grades'!B51</f>
        <v>Benny Reyes</v>
      </c>
      <c r="C114" s="9">
        <f>IF(ISNUMBER('Quiz 1 Grades'!L51),'Quiz 1 Grades'!L51,'Quiz 1 Grades'!P51)</f>
        <v>40</v>
      </c>
      <c r="D114" s="12">
        <f t="shared" si="42"/>
        <v>0.8</v>
      </c>
      <c r="E114" s="58">
        <f t="shared" si="43"/>
        <v>0.20713071324791049</v>
      </c>
      <c r="F114" s="12">
        <f t="shared" si="44"/>
        <v>0.46899999999999997</v>
      </c>
      <c r="G114" s="12">
        <f t="shared" si="45"/>
        <v>0.58204611175983323</v>
      </c>
      <c r="H114" s="9" t="str">
        <f t="shared" si="46"/>
        <v>Mean to +1σ</v>
      </c>
    </row>
    <row r="115" spans="1:8" x14ac:dyDescent="0.3">
      <c r="A115" s="9">
        <f>'Quiz 1 Grades'!A52</f>
        <v>46</v>
      </c>
      <c r="B115" s="22" t="str">
        <f>'Quiz 1 Grades'!B52</f>
        <v>Noah Rodriguez</v>
      </c>
      <c r="C115" s="9">
        <f>IF(ISNUMBER('Quiz 1 Grades'!L52),'Quiz 1 Grades'!L52,'Quiz 1 Grades'!P52)</f>
        <v>37</v>
      </c>
      <c r="D115" s="12">
        <f t="shared" si="42"/>
        <v>0.74</v>
      </c>
      <c r="E115" s="58">
        <f t="shared" si="43"/>
        <v>-0.13058240617802991</v>
      </c>
      <c r="F115" s="12">
        <f t="shared" si="44"/>
        <v>0.34599999999999997</v>
      </c>
      <c r="G115" s="12">
        <f t="shared" si="45"/>
        <v>0.44805283068699736</v>
      </c>
      <c r="H115" s="9" t="str">
        <f t="shared" si="46"/>
        <v>−1σ to mean</v>
      </c>
    </row>
    <row r="116" spans="1:8" x14ac:dyDescent="0.3">
      <c r="A116" s="9">
        <f>'Quiz 1 Grades'!A53</f>
        <v>47</v>
      </c>
      <c r="B116" s="22" t="str">
        <f>'Quiz 1 Grades'!B53</f>
        <v>Roman Romashkin</v>
      </c>
      <c r="C116" s="9">
        <f>IF(ISNUMBER('Quiz 1 Grades'!L53),'Quiz 1 Grades'!L53,'Quiz 1 Grades'!P53)</f>
        <v>41</v>
      </c>
      <c r="D116" s="12">
        <f t="shared" si="42"/>
        <v>0.82</v>
      </c>
      <c r="E116" s="58">
        <f t="shared" si="43"/>
        <v>0.31970175305655729</v>
      </c>
      <c r="F116" s="12">
        <f t="shared" si="44"/>
        <v>0.51</v>
      </c>
      <c r="G116" s="12">
        <f t="shared" si="45"/>
        <v>0.62540278463449028</v>
      </c>
      <c r="H116" s="9" t="str">
        <f t="shared" si="46"/>
        <v>Mean to +1σ</v>
      </c>
    </row>
    <row r="117" spans="1:8" x14ac:dyDescent="0.3">
      <c r="A117" s="9">
        <f>'Quiz 1 Grades'!A54</f>
        <v>48</v>
      </c>
      <c r="B117" s="22" t="str">
        <f>'Quiz 1 Grades'!B54</f>
        <v>Kayra Rushing</v>
      </c>
      <c r="C117" s="9">
        <f>IF(ISNUMBER('Quiz 1 Grades'!L54),'Quiz 1 Grades'!L54,'Quiz 1 Grades'!P54)</f>
        <v>44</v>
      </c>
      <c r="D117" s="12">
        <f t="shared" si="42"/>
        <v>0.88</v>
      </c>
      <c r="E117" s="58">
        <f t="shared" si="43"/>
        <v>0.65741487248249775</v>
      </c>
      <c r="F117" s="12">
        <f t="shared" si="44"/>
        <v>0.69299999999999995</v>
      </c>
      <c r="G117" s="12">
        <f t="shared" si="45"/>
        <v>0.74454290438504134</v>
      </c>
      <c r="H117" s="9" t="str">
        <f t="shared" si="46"/>
        <v>Mean to +1σ</v>
      </c>
    </row>
    <row r="118" spans="1:8" x14ac:dyDescent="0.3">
      <c r="A118" s="9">
        <f>'Quiz 1 Grades'!A55</f>
        <v>49</v>
      </c>
      <c r="B118" s="22" t="str">
        <f>'Quiz 1 Grades'!B55</f>
        <v>Brooke Salada</v>
      </c>
      <c r="C118" s="9">
        <f>IF(ISNUMBER('Quiz 1 Grades'!L55),'Quiz 1 Grades'!L55,'Quiz 1 Grades'!P55)</f>
        <v>29</v>
      </c>
      <c r="D118" s="12">
        <f t="shared" si="42"/>
        <v>0.57999999999999996</v>
      </c>
      <c r="E118" s="58">
        <f t="shared" si="43"/>
        <v>-1.0311507246472043</v>
      </c>
      <c r="F118" s="12">
        <f t="shared" si="44"/>
        <v>0.20399999999999999</v>
      </c>
      <c r="G118" s="12">
        <f t="shared" si="45"/>
        <v>0.15123507193366439</v>
      </c>
      <c r="H118" s="9" t="str">
        <f t="shared" si="46"/>
        <v>−2σ to −1σ</v>
      </c>
    </row>
    <row r="119" spans="1:8" x14ac:dyDescent="0.3">
      <c r="A119" s="9">
        <f>'Quiz 1 Grades'!A56</f>
        <v>50</v>
      </c>
      <c r="B119" s="22" t="str">
        <f>'Quiz 1 Grades'!B56</f>
        <v>Haylee Senior</v>
      </c>
      <c r="C119" s="9">
        <f>IF(ISNUMBER('Quiz 1 Grades'!L56),'Quiz 1 Grades'!L56,'Quiz 1 Grades'!P56)</f>
        <v>43</v>
      </c>
      <c r="D119" s="12">
        <f t="shared" si="42"/>
        <v>0.86</v>
      </c>
      <c r="E119" s="58">
        <f t="shared" si="43"/>
        <v>0.54484383267385095</v>
      </c>
      <c r="F119" s="12">
        <f t="shared" si="44"/>
        <v>0.59099999999999997</v>
      </c>
      <c r="G119" s="12">
        <f t="shared" si="45"/>
        <v>0.70706953547199103</v>
      </c>
      <c r="H119" s="9" t="str">
        <f t="shared" si="46"/>
        <v>Mean to +1σ</v>
      </c>
    </row>
    <row r="120" spans="1:8" x14ac:dyDescent="0.3">
      <c r="A120" s="9">
        <f>'Quiz 1 Grades'!A57</f>
        <v>51</v>
      </c>
      <c r="B120" s="22" t="str">
        <f>'Quiz 1 Grades'!B57</f>
        <v>Hayley Tarin</v>
      </c>
      <c r="C120" s="9">
        <f>IF(ISNUMBER('Quiz 1 Grades'!L57),'Quiz 1 Grades'!L57,'Quiz 1 Grades'!P57)</f>
        <v>38</v>
      </c>
      <c r="D120" s="12">
        <f t="shared" si="42"/>
        <v>0.76</v>
      </c>
      <c r="E120" s="58">
        <f t="shared" si="43"/>
        <v>-1.8011366369383105E-2</v>
      </c>
      <c r="F120" s="12">
        <f t="shared" si="44"/>
        <v>0.36699999999999999</v>
      </c>
      <c r="G120" s="12">
        <f t="shared" si="45"/>
        <v>0.49281489291550168</v>
      </c>
      <c r="H120" s="9" t="str">
        <f t="shared" si="46"/>
        <v>−1σ to mean</v>
      </c>
    </row>
    <row r="121" spans="1:8" x14ac:dyDescent="0.3">
      <c r="A121" s="9">
        <f>'Quiz 1 Grades'!A58</f>
        <v>52</v>
      </c>
      <c r="B121" s="22" t="str">
        <f>'Quiz 1 Grades'!B58</f>
        <v>Shaman Wildman</v>
      </c>
      <c r="C121" s="9">
        <f>IF(ISNUMBER('Quiz 1 Grades'!L58),'Quiz 1 Grades'!L58,'Quiz 1 Grades'!P58)</f>
        <v>41</v>
      </c>
      <c r="D121" s="12">
        <f t="shared" si="42"/>
        <v>0.82</v>
      </c>
      <c r="E121" s="58">
        <f t="shared" si="43"/>
        <v>0.31970175305655729</v>
      </c>
      <c r="F121" s="12">
        <f t="shared" si="44"/>
        <v>0.51</v>
      </c>
      <c r="G121" s="12">
        <f t="shared" si="45"/>
        <v>0.62540278463449028</v>
      </c>
      <c r="H121" s="9" t="str">
        <f t="shared" si="46"/>
        <v>Mean to +1σ</v>
      </c>
    </row>
  </sheetData>
  <autoFilter ref="A69:H121" xr:uid="{00000000-0009-0000-0000-000006000000}"/>
  <mergeCells count="19">
    <mergeCell ref="A1:N1"/>
    <mergeCell ref="A6:N6"/>
    <mergeCell ref="A7:N7"/>
    <mergeCell ref="A13:C13"/>
    <mergeCell ref="A2:N2"/>
    <mergeCell ref="A5:N5"/>
    <mergeCell ref="J22:N22"/>
    <mergeCell ref="A37:G37"/>
    <mergeCell ref="A9:N9"/>
    <mergeCell ref="J20:N21"/>
    <mergeCell ref="A11:N11"/>
    <mergeCell ref="J13:N13"/>
    <mergeCell ref="P13:W13"/>
    <mergeCell ref="A8:N8"/>
    <mergeCell ref="A4:N4"/>
    <mergeCell ref="A55:G55"/>
    <mergeCell ref="A68:H68"/>
    <mergeCell ref="A10:N10"/>
    <mergeCell ref="E64:H64"/>
  </mergeCells>
  <conditionalFormatting sqref="A70:H121">
    <cfRule type="expression" dxfId="9" priority="13">
      <formula>ISTEXT($C70)</formula>
    </cfRule>
  </conditionalFormatting>
  <conditionalFormatting sqref="D57:D63">
    <cfRule type="colorScale" priority="8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conditionalFormatting sqref="E70:E121">
    <cfRule type="colorScale" priority="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G39:G48">
    <cfRule type="colorScale" priority="4">
      <colorScale>
        <cfvo type="num" val="-5"/>
        <cfvo type="num" val="0"/>
        <cfvo type="num" val="5"/>
        <color rgb="FFF8696B"/>
        <color rgb="FFFFFFFF"/>
        <color rgb="FF63BE7B"/>
      </colorScale>
    </cfRule>
  </conditionalFormatting>
  <conditionalFormatting sqref="G57:G63">
    <cfRule type="expression" dxfId="8" priority="5">
      <formula>G57="Good"</formula>
    </cfRule>
    <cfRule type="expression" dxfId="7" priority="6">
      <formula>G57="Fair"</formula>
    </cfRule>
    <cfRule type="expression" dxfId="6" priority="7">
      <formula>G57="Weak"</formula>
    </cfRule>
  </conditionalFormatting>
  <conditionalFormatting sqref="H70:H121">
    <cfRule type="expression" dxfId="5" priority="10">
      <formula>LEFT(H70,3)="−2σ"</formula>
    </cfRule>
    <cfRule type="expression" dxfId="4" priority="11">
      <formula>H70="Below −2σ"</formula>
    </cfRule>
    <cfRule type="expression" dxfId="3" priority="12">
      <formula>H70="Above +1σ"</formula>
    </cfRule>
  </conditionalFormatting>
  <conditionalFormatting sqref="M15:M19">
    <cfRule type="expression" dxfId="2" priority="2">
      <formula>LEFT(M15,3)="Not"</formula>
    </cfRule>
    <cfRule type="expression" dxfId="1" priority="3">
      <formula>LEFT(M15,3)="Con"</formula>
    </cfRule>
  </conditionalFormatting>
  <conditionalFormatting sqref="Q15:Q66 T15:T66">
    <cfRule type="expression" dxfId="0" priority="1">
      <formula>ISNA(Q15)</formula>
    </cfRule>
  </conditionalFormatting>
  <printOptions horizontalCentered="1"/>
  <pageMargins left="0.75" right="0.75" top="1" bottom="1" header="0.5" footer="0.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9" customWidth="1"/>
    <col min="2" max="2" width="24" customWidth="1"/>
    <col min="3" max="3" width="11" customWidth="1"/>
    <col min="4" max="4" width="11" customWidth="1"/>
    <col min="5" max="10" width="20" customWidth="1"/>
  </cols>
  <sheetData>
    <row r="1" ht="30" customHeight="1">
      <c r="A1" s="67" t="inlineStr">
        <is>
          <t>Group Members &amp; Budget</t>
        </is>
      </c>
    </row>
    <row r="2" ht="30" customHeight="1">
      <c r="A2" s="61" t="inlineStr">
        <is>
          <t>Who is in each group and how much each group can spend. Everything here reads from the Roster (column E) and Groups tabs. Budget = $ per student × students, capped per group (blue cells).</t>
        </is>
      </c>
    </row>
    <row r="4">
      <c r="A4" s="69" t="inlineStr">
        <is>
          <t>Budget rule</t>
        </is>
      </c>
    </row>
    <row r="5">
      <c r="A5" s="70" t="inlineStr">
        <is>
          <t>Budget per student</t>
        </is>
      </c>
      <c r="C5" s="79">
        <v>20</v>
      </c>
    </row>
    <row r="6">
      <c r="A6" s="70" t="inlineStr">
        <is>
          <t>Maximum per group</t>
        </is>
      </c>
      <c r="C6" s="79">
        <v>80</v>
      </c>
    </row>
    <row r="8" ht="32" customHeight="1">
      <c r="A8" s="8" t="inlineStr">
        <is>
          <t>Group</t>
        </is>
      </c>
      <c r="B8" s="8" t="inlineStr">
        <is>
          <t>Project track</t>
        </is>
      </c>
      <c r="C8" s="8" t="inlineStr">
        <is>
          <t># Students</t>
        </is>
      </c>
      <c r="D8" s="8" t="inlineStr">
        <is>
          <t>Budget ($)</t>
        </is>
      </c>
      <c r="E8" s="8" t="inlineStr">
        <is>
          <t>Member 1</t>
        </is>
      </c>
      <c r="F8" s="8" t="inlineStr">
        <is>
          <t>Member 2</t>
        </is>
      </c>
      <c r="G8" s="8" t="inlineStr">
        <is>
          <t>Member 3</t>
        </is>
      </c>
      <c r="H8" s="8" t="inlineStr">
        <is>
          <t>Member 4</t>
        </is>
      </c>
      <c r="I8" s="8" t="inlineStr">
        <is>
          <t>Member 5</t>
        </is>
      </c>
      <c r="J8" s="8" t="inlineStr">
        <is>
          <t>Member 6</t>
        </is>
      </c>
    </row>
    <row r="9">
      <c r="A9" s="13" t="str">
        <f>IF(Groups!A5="","",Groups!A5)</f>
        <v>1A</v>
      </c>
      <c r="B9" s="70" t="str">
        <f>IF(A9="","",IF(Groups!B5="","Track not set",Groups!B5))</f>
        <v>Methylene Blue Removal</v>
      </c>
      <c r="C9" s="9">
        <f>IF(A9="","",Groups!C5)</f>
        <v>5</v>
      </c>
      <c r="D9" s="77">
        <f>IF(A9="","",MIN(C9*$C$5,$C$6))</f>
        <v>80</v>
      </c>
      <c r="E9" s="70" t="str">
        <f>IF($A9="","",IFERROR(INDEX(Roster!$D$5:$D$56,MATCH($A9&amp;"#"&amp;1,Roster!$I$5:$I$56,0)),""))</f>
        <v>Sonu Acharya</v>
      </c>
      <c r="F9" s="70" t="str">
        <f>IF($A9="","",IFERROR(INDEX(Roster!$D$5:$D$56,MATCH($A9&amp;"#"&amp;2,Roster!$I$5:$I$56,0)),""))</f>
        <v>Hayden Albert</v>
      </c>
      <c r="G9" s="70" t="str">
        <f>IF($A9="","",IFERROR(INDEX(Roster!$D$5:$D$56,MATCH($A9&amp;"#"&amp;3,Roster!$I$5:$I$56,0)),""))</f>
        <v>Elizabeth Dillah</v>
      </c>
      <c r="H9" s="70" t="str">
        <f>IF($A9="","",IFERROR(INDEX(Roster!$D$5:$D$56,MATCH($A9&amp;"#"&amp;4,Roster!$I$5:$I$56,0)),""))</f>
        <v>Hunter Gates</v>
      </c>
      <c r="I9" s="70" t="str">
        <f>IF($A9="","",IFERROR(INDEX(Roster!$D$5:$D$56,MATCH($A9&amp;"#"&amp;5,Roster!$I$5:$I$56,0)),""))</f>
        <v>Macie Perrio</v>
      </c>
      <c r="J9" s="70" t="str">
        <f>IF($A9="","",IFERROR(INDEX(Roster!$D$5:$D$56,MATCH($A9&amp;"#"&amp;6,Roster!$I$5:$I$56,0)),""))</f>
        <v/>
      </c>
    </row>
    <row r="10">
      <c r="A10" s="13" t="str">
        <f>IF(Groups!A6="","",Groups!A6)</f>
        <v>2A</v>
      </c>
      <c r="B10" s="70" t="str">
        <f>IF(A10="","",IF(Groups!B6="","Track not set",Groups!B6))</f>
        <v>Methylene Blue Removal</v>
      </c>
      <c r="C10" s="9">
        <f>IF(A10="","",Groups!C6)</f>
        <v>4</v>
      </c>
      <c r="D10" s="77">
        <f>IF(A10="","",MIN(C10*$C$5,$C$6))</f>
        <v>80</v>
      </c>
      <c r="E10" s="70" t="str">
        <f>IF($A10="","",IFERROR(INDEX(Roster!$D$5:$D$56,MATCH($A10&amp;"#"&amp;1,Roster!$I$5:$I$56,0)),""))</f>
        <v>Trevin Cutrer</v>
      </c>
      <c r="F10" s="70" t="str">
        <f>IF($A10="","",IFERROR(INDEX(Roster!$D$5:$D$56,MATCH($A10&amp;"#"&amp;2,Roster!$I$5:$I$56,0)),""))</f>
        <v>Rachel Holmes</v>
      </c>
      <c r="G10" s="70" t="str">
        <f>IF($A10="","",IFERROR(INDEX(Roster!$D$5:$D$56,MATCH($A10&amp;"#"&amp;3,Roster!$I$5:$I$56,0)),""))</f>
        <v>Noah Rodriguez</v>
      </c>
      <c r="H10" s="70" t="str">
        <f>IF($A10="","",IFERROR(INDEX(Roster!$D$5:$D$56,MATCH($A10&amp;"#"&amp;4,Roster!$I$5:$I$56,0)),""))</f>
        <v>Shaman Wildman</v>
      </c>
      <c r="I10" s="70" t="str">
        <f>IF($A10="","",IFERROR(INDEX(Roster!$D$5:$D$56,MATCH($A10&amp;"#"&amp;5,Roster!$I$5:$I$56,0)),""))</f>
        <v/>
      </c>
      <c r="J10" s="70" t="str">
        <f>IF($A10="","",IFERROR(INDEX(Roster!$D$5:$D$56,MATCH($A10&amp;"#"&amp;6,Roster!$I$5:$I$56,0)),""))</f>
        <v/>
      </c>
    </row>
    <row r="11">
      <c r="A11" s="13" t="str">
        <f>IF(Groups!A7="","",Groups!A7)</f>
        <v>3A</v>
      </c>
      <c r="B11" s="70" t="str">
        <f>IF(A11="","",IF(Groups!B7="","Track not set",Groups!B7))</f>
        <v>Methylene Blue Removal</v>
      </c>
      <c r="C11" s="9">
        <f>IF(A11="","",Groups!C7)</f>
        <v>5</v>
      </c>
      <c r="D11" s="77">
        <f>IF(A11="","",MIN(C11*$C$5,$C$6))</f>
        <v>80</v>
      </c>
      <c r="E11" s="70" t="str">
        <f>IF($A11="","",IFERROR(INDEX(Roster!$D$5:$D$56,MATCH($A11&amp;"#"&amp;1,Roster!$I$5:$I$56,0)),""))</f>
        <v>Landon Atkins</v>
      </c>
      <c r="F11" s="70" t="str">
        <f>IF($A11="","",IFERROR(INDEX(Roster!$D$5:$D$56,MATCH($A11&amp;"#"&amp;2,Roster!$I$5:$I$56,0)),""))</f>
        <v>Axel Cruz-Hernandez</v>
      </c>
      <c r="G11" s="70" t="str">
        <f>IF($A11="","",IFERROR(INDEX(Roster!$D$5:$D$56,MATCH($A11&amp;"#"&amp;3,Roster!$I$5:$I$56,0)),""))</f>
        <v>Mia Cuellar</v>
      </c>
      <c r="H11" s="70" t="str">
        <f>IF($A11="","",IFERROR(INDEX(Roster!$D$5:$D$56,MATCH($A11&amp;"#"&amp;4,Roster!$I$5:$I$56,0)),""))</f>
        <v>Connor Felux</v>
      </c>
      <c r="I11" s="70" t="str">
        <f>IF($A11="","",IFERROR(INDEX(Roster!$D$5:$D$56,MATCH($A11&amp;"#"&amp;5,Roster!$I$5:$I$56,0)),""))</f>
        <v>Kara Larsen</v>
      </c>
      <c r="J11" s="70" t="str">
        <f>IF($A11="","",IFERROR(INDEX(Roster!$D$5:$D$56,MATCH($A11&amp;"#"&amp;6,Roster!$I$5:$I$56,0)),""))</f>
        <v/>
      </c>
    </row>
    <row r="12">
      <c r="A12" s="13" t="str">
        <f>IF(Groups!A8="","",Groups!A8)</f>
        <v>4A</v>
      </c>
      <c r="B12" s="70" t="str">
        <f>IF(A12="","",IF(Groups!B8="","Track not set",Groups!B8))</f>
        <v>Methylene Blue Removal</v>
      </c>
      <c r="C12" s="9">
        <f>IF(A12="","",Groups!C8)</f>
        <v>5</v>
      </c>
      <c r="D12" s="77">
        <f>IF(A12="","",MIN(C12*$C$5,$C$6))</f>
        <v>80</v>
      </c>
      <c r="E12" s="70" t="str">
        <f>IF($A12="","",IFERROR(INDEX(Roster!$D$5:$D$56,MATCH($A12&amp;"#"&amp;1,Roster!$I$5:$I$56,0)),""))</f>
        <v>John David Andrade</v>
      </c>
      <c r="F12" s="70" t="str">
        <f>IF($A12="","",IFERROR(INDEX(Roster!$D$5:$D$56,MATCH($A12&amp;"#"&amp;2,Roster!$I$5:$I$56,0)),""))</f>
        <v>Jermy Brown</v>
      </c>
      <c r="G12" s="70" t="str">
        <f>IF($A12="","",IFERROR(INDEX(Roster!$D$5:$D$56,MATCH($A12&amp;"#"&amp;3,Roster!$I$5:$I$56,0)),""))</f>
        <v>Devin Cuellar</v>
      </c>
      <c r="H12" s="70" t="str">
        <f>IF($A12="","",IFERROR(INDEX(Roster!$D$5:$D$56,MATCH($A12&amp;"#"&amp;4,Roster!$I$5:$I$56,0)),""))</f>
        <v>Brinda Gayen</v>
      </c>
      <c r="I12" s="70" t="str">
        <f>IF($A12="","",IFERROR(INDEX(Roster!$D$5:$D$56,MATCH($A12&amp;"#"&amp;5,Roster!$I$5:$I$56,0)),""))</f>
        <v>Emmalie Potter</v>
      </c>
      <c r="J12" s="70" t="str">
        <f>IF($A12="","",IFERROR(INDEX(Roster!$D$5:$D$56,MATCH($A12&amp;"#"&amp;6,Roster!$I$5:$I$56,0)),""))</f>
        <v/>
      </c>
    </row>
    <row r="13">
      <c r="A13" s="13" t="str">
        <f>IF(Groups!A9="","",Groups!A9)</f>
        <v>5A</v>
      </c>
      <c r="B13" s="70" t="str">
        <f>IF(A13="","",IF(Groups!B9="","Track not set",Groups!B9))</f>
        <v>Methylene Blue Removal</v>
      </c>
      <c r="C13" s="9">
        <f>IF(A13="","",Groups!C9)</f>
        <v>5</v>
      </c>
      <c r="D13" s="77">
        <f>IF(A13="","",MIN(C13*$C$5,$C$6))</f>
        <v>80</v>
      </c>
      <c r="E13" s="70" t="str">
        <f>IF($A13="","",IFERROR(INDEX(Roster!$D$5:$D$56,MATCH($A13&amp;"#"&amp;1,Roster!$I$5:$I$56,0)),""))</f>
        <v>David Abagwe</v>
      </c>
      <c r="F13" s="70" t="str">
        <f>IF($A13="","",IFERROR(INDEX(Roster!$D$5:$D$56,MATCH($A13&amp;"#"&amp;2,Roster!$I$5:$I$56,0)),""))</f>
        <v>Angel Camarillo</v>
      </c>
      <c r="G13" s="70" t="str">
        <f>IF($A13="","",IFERROR(INDEX(Roster!$D$5:$D$56,MATCH($A13&amp;"#"&amp;3,Roster!$I$5:$I$56,0)),""))</f>
        <v>Mihal Jacob</v>
      </c>
      <c r="H13" s="70" t="str">
        <f>IF($A13="","",IFERROR(INDEX(Roster!$D$5:$D$56,MATCH($A13&amp;"#"&amp;4,Roster!$I$5:$I$56,0)),""))</f>
        <v>Diego Leal</v>
      </c>
      <c r="I13" s="70" t="str">
        <f>IF($A13="","",IFERROR(INDEX(Roster!$D$5:$D$56,MATCH($A13&amp;"#"&amp;5,Roster!$I$5:$I$56,0)),""))</f>
        <v>Aaron Linhart</v>
      </c>
      <c r="J13" s="70" t="str">
        <f>IF($A13="","",IFERROR(INDEX(Roster!$D$5:$D$56,MATCH($A13&amp;"#"&amp;6,Roster!$I$5:$I$56,0)),""))</f>
        <v/>
      </c>
    </row>
    <row r="14">
      <c r="A14" s="13" t="str">
        <f>IF(Groups!A10="","",Groups!A10)</f>
        <v>1B</v>
      </c>
      <c r="B14" s="70" t="str">
        <f>IF(A14="","",IF(Groups!B10="","Track not set",Groups!B10))</f>
        <v>Oxygenation</v>
      </c>
      <c r="C14" s="9">
        <f>IF(A14="","",Groups!C10)</f>
        <v>5</v>
      </c>
      <c r="D14" s="77">
        <f>IF(A14="","",MIN(C14*$C$5,$C$6))</f>
        <v>80</v>
      </c>
      <c r="E14" s="70" t="str">
        <f>IF($A14="","",IFERROR(INDEX(Roster!$D$5:$D$56,MATCH($A14&amp;"#"&amp;1,Roster!$I$5:$I$56,0)),""))</f>
        <v>Ryan Borkland</v>
      </c>
      <c r="F14" s="70" t="str">
        <f>IF($A14="","",IFERROR(INDEX(Roster!$D$5:$D$56,MATCH($A14&amp;"#"&amp;2,Roster!$I$5:$I$56,0)),""))</f>
        <v>Eric Calderon</v>
      </c>
      <c r="G14" s="70" t="str">
        <f>IF($A14="","",IFERROR(INDEX(Roster!$D$5:$D$56,MATCH($A14&amp;"#"&amp;3,Roster!$I$5:$I$56,0)),""))</f>
        <v>Gavin Cappel</v>
      </c>
      <c r="H14" s="70" t="str">
        <f>IF($A14="","",IFERROR(INDEX(Roster!$D$5:$D$56,MATCH($A14&amp;"#"&amp;4,Roster!$I$5:$I$56,0)),""))</f>
        <v>Isabella Juarez</v>
      </c>
      <c r="I14" s="70" t="str">
        <f>IF($A14="","",IFERROR(INDEX(Roster!$D$5:$D$56,MATCH($A14&amp;"#"&amp;5,Roster!$I$5:$I$56,0)),""))</f>
        <v>Kayra Rushing</v>
      </c>
      <c r="J14" s="70" t="str">
        <f>IF($A14="","",IFERROR(INDEX(Roster!$D$5:$D$56,MATCH($A14&amp;"#"&amp;6,Roster!$I$5:$I$56,0)),""))</f>
        <v/>
      </c>
    </row>
    <row r="15">
      <c r="A15" s="13" t="str">
        <f>IF(Groups!A11="","",Groups!A11)</f>
        <v>2B</v>
      </c>
      <c r="B15" s="70" t="str">
        <f>IF(A15="","",IF(Groups!B11="","Track not set",Groups!B11))</f>
        <v>Oxygenation</v>
      </c>
      <c r="C15" s="9">
        <f>IF(A15="","",Groups!C11)</f>
        <v>5</v>
      </c>
      <c r="D15" s="77">
        <f>IF(A15="","",MIN(C15*$C$5,$C$6))</f>
        <v>80</v>
      </c>
      <c r="E15" s="70" t="str">
        <f>IF($A15="","",IFERROR(INDEX(Roster!$D$5:$D$56,MATCH($A15&amp;"#"&amp;1,Roster!$I$5:$I$56,0)),""))</f>
        <v>Venditha Chelikani</v>
      </c>
      <c r="F15" s="70" t="str">
        <f>IF($A15="","",IFERROR(INDEX(Roster!$D$5:$D$56,MATCH($A15&amp;"#"&amp;2,Roster!$I$5:$I$56,0)),""))</f>
        <v>Victoria Gaytan</v>
      </c>
      <c r="G15" s="70" t="str">
        <f>IF($A15="","",IFERROR(INDEX(Roster!$D$5:$D$56,MATCH($A15&amp;"#"&amp;3,Roster!$I$5:$I$56,0)),""))</f>
        <v>Emily Ickert</v>
      </c>
      <c r="H15" s="70" t="str">
        <f>IF($A15="","",IFERROR(INDEX(Roster!$D$5:$D$56,MATCH($A15&amp;"#"&amp;4,Roster!$I$5:$I$56,0)),""))</f>
        <v>Luke Presa</v>
      </c>
      <c r="I15" s="70" t="str">
        <f>IF($A15="","",IFERROR(INDEX(Roster!$D$5:$D$56,MATCH($A15&amp;"#"&amp;5,Roster!$I$5:$I$56,0)),""))</f>
        <v>Benny Reyes</v>
      </c>
      <c r="J15" s="70" t="str">
        <f>IF($A15="","",IFERROR(INDEX(Roster!$D$5:$D$56,MATCH($A15&amp;"#"&amp;6,Roster!$I$5:$I$56,0)),""))</f>
        <v/>
      </c>
    </row>
    <row r="16">
      <c r="A16" s="13" t="str">
        <f>IF(Groups!A12="","",Groups!A12)</f>
        <v>3B</v>
      </c>
      <c r="B16" s="70" t="str">
        <f>IF(A16="","",IF(Groups!B12="","Track not set",Groups!B12))</f>
        <v>Oxygenation</v>
      </c>
      <c r="C16" s="9">
        <f>IF(A16="","",Groups!C12)</f>
        <v>5</v>
      </c>
      <c r="D16" s="77">
        <f>IF(A16="","",MIN(C16*$C$5,$C$6))</f>
        <v>80</v>
      </c>
      <c r="E16" s="70" t="str">
        <f>IF($A16="","",IFERROR(INDEX(Roster!$D$5:$D$56,MATCH($A16&amp;"#"&amp;1,Roster!$I$5:$I$56,0)),""))</f>
        <v>Lani Allen</v>
      </c>
      <c r="F16" s="70" t="str">
        <f>IF($A16="","",IFERROR(INDEX(Roster!$D$5:$D$56,MATCH($A16&amp;"#"&amp;2,Roster!$I$5:$I$56,0)),""))</f>
        <v>Jack Elsas</v>
      </c>
      <c r="G16" s="70" t="str">
        <f>IF($A16="","",IFERROR(INDEX(Roster!$D$5:$D$56,MATCH($A16&amp;"#"&amp;3,Roster!$I$5:$I$56,0)),""))</f>
        <v>Shawn Kwende</v>
      </c>
      <c r="H16" s="70" t="str">
        <f>IF($A16="","",IFERROR(INDEX(Roster!$D$5:$D$56,MATCH($A16&amp;"#"&amp;4,Roster!$I$5:$I$56,0)),""))</f>
        <v>Jared O'neal</v>
      </c>
      <c r="I16" s="70" t="str">
        <f>IF($A16="","",IFERROR(INDEX(Roster!$D$5:$D$56,MATCH($A16&amp;"#"&amp;5,Roster!$I$5:$I$56,0)),""))</f>
        <v>Brooke Salada</v>
      </c>
      <c r="J16" s="70" t="str">
        <f>IF($A16="","",IFERROR(INDEX(Roster!$D$5:$D$56,MATCH($A16&amp;"#"&amp;6,Roster!$I$5:$I$56,0)),""))</f>
        <v/>
      </c>
    </row>
    <row r="17">
      <c r="A17" s="13" t="str">
        <f>IF(Groups!A13="","",Groups!A13)</f>
        <v>4B</v>
      </c>
      <c r="B17" s="70" t="str">
        <f>IF(A17="","",IF(Groups!B13="","Track not set",Groups!B13))</f>
        <v>Oxygenation</v>
      </c>
      <c r="C17" s="9">
        <f>IF(A17="","",Groups!C13)</f>
        <v>5</v>
      </c>
      <c r="D17" s="77">
        <f>IF(A17="","",MIN(C17*$C$5,$C$6))</f>
        <v>80</v>
      </c>
      <c r="E17" s="70" t="str">
        <f>IF($A17="","",IFERROR(INDEX(Roster!$D$5:$D$56,MATCH($A17&amp;"#"&amp;1,Roster!$I$5:$I$56,0)),""))</f>
        <v>Ashton Adams</v>
      </c>
      <c r="F17" s="70" t="str">
        <f>IF($A17="","",IFERROR(INDEX(Roster!$D$5:$D$56,MATCH($A17&amp;"#"&amp;2,Roster!$I$5:$I$56,0)),""))</f>
        <v>Jocelyn Gonzalez</v>
      </c>
      <c r="G17" s="70" t="str">
        <f>IF($A17="","",IFERROR(INDEX(Roster!$D$5:$D$56,MATCH($A17&amp;"#"&amp;3,Roster!$I$5:$I$56,0)),""))</f>
        <v>Michelle Gutierrez</v>
      </c>
      <c r="H17" s="70" t="str">
        <f>IF($A17="","",IFERROR(INDEX(Roster!$D$5:$D$56,MATCH($A17&amp;"#"&amp;4,Roster!$I$5:$I$56,0)),""))</f>
        <v>Jenna Koestler</v>
      </c>
      <c r="I17" s="70" t="str">
        <f>IF($A17="","",IFERROR(INDEX(Roster!$D$5:$D$56,MATCH($A17&amp;"#"&amp;5,Roster!$I$5:$I$56,0)),""))</f>
        <v>Roman Romashkin</v>
      </c>
      <c r="J17" s="70" t="str">
        <f>IF($A17="","",IFERROR(INDEX(Roster!$D$5:$D$56,MATCH($A17&amp;"#"&amp;6,Roster!$I$5:$I$56,0)),""))</f>
        <v/>
      </c>
    </row>
    <row r="18">
      <c r="A18" s="13" t="str">
        <f>IF(Groups!A14="","",Groups!A14)</f>
        <v>5B</v>
      </c>
      <c r="B18" s="70" t="str">
        <f>IF(A18="","",IF(Groups!B14="","Track not set",Groups!B14))</f>
        <v>Oxygenation</v>
      </c>
      <c r="C18" s="9">
        <f>IF(A18="","",Groups!C14)</f>
        <v>4</v>
      </c>
      <c r="D18" s="77">
        <f>IF(A18="","",MIN(C18*$C$5,$C$6))</f>
        <v>80</v>
      </c>
      <c r="E18" s="70" t="str">
        <f>IF($A18="","",IFERROR(INDEX(Roster!$D$5:$D$56,MATCH($A18&amp;"#"&amp;1,Roster!$I$5:$I$56,0)),""))</f>
        <v>Brisa Colunga</v>
      </c>
      <c r="F18" s="70" t="str">
        <f>IF($A18="","",IFERROR(INDEX(Roster!$D$5:$D$56,MATCH($A18&amp;"#"&amp;2,Roster!$I$5:$I$56,0)),""))</f>
        <v>Alyssa Jasso</v>
      </c>
      <c r="G18" s="70" t="str">
        <f>IF($A18="","",IFERROR(INDEX(Roster!$D$5:$D$56,MATCH($A18&amp;"#"&amp;3,Roster!$I$5:$I$56,0)),""))</f>
        <v>Valeria Leon</v>
      </c>
      <c r="H18" s="70" t="str">
        <f>IF($A18="","",IFERROR(INDEX(Roster!$D$5:$D$56,MATCH($A18&amp;"#"&amp;4,Roster!$I$5:$I$56,0)),""))</f>
        <v>Haylee Senior</v>
      </c>
      <c r="I18" s="70" t="str">
        <f>IF($A18="","",IFERROR(INDEX(Roster!$D$5:$D$56,MATCH($A18&amp;"#"&amp;5,Roster!$I$5:$I$56,0)),""))</f>
        <v/>
      </c>
      <c r="J18" s="70" t="str">
        <f>IF($A18="","",IFERROR(INDEX(Roster!$D$5:$D$56,MATCH($A18&amp;"#"&amp;6,Roster!$I$5:$I$56,0)),""))</f>
        <v/>
      </c>
    </row>
    <row r="19">
      <c r="A19" s="13" t="str">
        <f>IF(Groups!A15="","",Groups!A15)</f>
        <v>6B</v>
      </c>
      <c r="B19" s="70" t="str">
        <f>IF(A19="","",IF(Groups!B15="","Track not set",Groups!B15))</f>
        <v>Oxygenation</v>
      </c>
      <c r="C19" s="9">
        <f>IF(A19="","",Groups!C15)</f>
        <v>4</v>
      </c>
      <c r="D19" s="77">
        <f>IF(A19="","",MIN(C19*$C$5,$C$6))</f>
        <v>80</v>
      </c>
      <c r="E19" s="70" t="str">
        <f>IF($A19="","",IFERROR(INDEX(Roster!$D$5:$D$56,MATCH($A19&amp;"#"&amp;1,Roster!$I$5:$I$56,0)),""))</f>
        <v>Maryam Ka</v>
      </c>
      <c r="F19" s="70" t="str">
        <f>IF($A19="","",IFERROR(INDEX(Roster!$D$5:$D$56,MATCH($A19&amp;"#"&amp;2,Roster!$I$5:$I$56,0)),""))</f>
        <v>Daniela Osorio</v>
      </c>
      <c r="G19" s="70" t="str">
        <f>IF($A19="","",IFERROR(INDEX(Roster!$D$5:$D$56,MATCH($A19&amp;"#"&amp;3,Roster!$I$5:$I$56,0)),""))</f>
        <v>Yasmine Padilla</v>
      </c>
      <c r="H19" s="70" t="str">
        <f>IF($A19="","",IFERROR(INDEX(Roster!$D$5:$D$56,MATCH($A19&amp;"#"&amp;4,Roster!$I$5:$I$56,0)),""))</f>
        <v>Hayley Tarin</v>
      </c>
      <c r="I19" s="70" t="str">
        <f>IF($A19="","",IFERROR(INDEX(Roster!$D$5:$D$56,MATCH($A19&amp;"#"&amp;5,Roster!$I$5:$I$56,0)),""))</f>
        <v/>
      </c>
      <c r="J19" s="70" t="str">
        <f>IF($A19="","",IFERROR(INDEX(Roster!$D$5:$D$56,MATCH($A19&amp;"#"&amp;6,Roster!$I$5:$I$56,0)),""))</f>
        <v/>
      </c>
    </row>
    <row r="20">
      <c r="A20" s="13" t="str">
        <f>IF(Groups!A16="","",Groups!A16)</f>
        <v/>
      </c>
      <c r="B20" s="70" t="str">
        <f>IF(A20="","",IF(Groups!B16="","Track not set",Groups!B16))</f>
        <v/>
      </c>
      <c r="C20" s="9" t="str">
        <f>IF(A20="","",Groups!C16)</f>
        <v/>
      </c>
      <c r="D20" s="77" t="str">
        <f>IF(A20="","",MIN(C20*$C$5,$C$6))</f>
        <v/>
      </c>
      <c r="E20" s="70" t="str">
        <f>IF($A20="","",IFERROR(INDEX(Roster!$D$5:$D$56,MATCH($A20&amp;"#"&amp;1,Roster!$I$5:$I$56,0)),""))</f>
        <v/>
      </c>
      <c r="F20" s="70" t="str">
        <f>IF($A20="","",IFERROR(INDEX(Roster!$D$5:$D$56,MATCH($A20&amp;"#"&amp;2,Roster!$I$5:$I$56,0)),""))</f>
        <v/>
      </c>
      <c r="G20" s="70" t="str">
        <f>IF($A20="","",IFERROR(INDEX(Roster!$D$5:$D$56,MATCH($A20&amp;"#"&amp;3,Roster!$I$5:$I$56,0)),""))</f>
        <v/>
      </c>
      <c r="H20" s="70" t="str">
        <f>IF($A20="","",IFERROR(INDEX(Roster!$D$5:$D$56,MATCH($A20&amp;"#"&amp;4,Roster!$I$5:$I$56,0)),""))</f>
        <v/>
      </c>
      <c r="I20" s="70" t="str">
        <f>IF($A20="","",IFERROR(INDEX(Roster!$D$5:$D$56,MATCH($A20&amp;"#"&amp;5,Roster!$I$5:$I$56,0)),""))</f>
        <v/>
      </c>
      <c r="J20" s="70" t="str">
        <f>IF($A20="","",IFERROR(INDEX(Roster!$D$5:$D$56,MATCH($A20&amp;"#"&amp;6,Roster!$I$5:$I$56,0)),""))</f>
        <v/>
      </c>
    </row>
    <row r="21">
      <c r="A21" s="13" t="str">
        <f>IF(Groups!A17="","",Groups!A17)</f>
        <v/>
      </c>
      <c r="B21" s="70" t="str">
        <f>IF(A21="","",IF(Groups!B17="","Track not set",Groups!B17))</f>
        <v/>
      </c>
      <c r="C21" s="9" t="str">
        <f>IF(A21="","",Groups!C17)</f>
        <v/>
      </c>
      <c r="D21" s="77" t="str">
        <f>IF(A21="","",MIN(C21*$C$5,$C$6))</f>
        <v/>
      </c>
      <c r="E21" s="70" t="str">
        <f>IF($A21="","",IFERROR(INDEX(Roster!$D$5:$D$56,MATCH($A21&amp;"#"&amp;1,Roster!$I$5:$I$56,0)),""))</f>
        <v/>
      </c>
      <c r="F21" s="70" t="str">
        <f>IF($A21="","",IFERROR(INDEX(Roster!$D$5:$D$56,MATCH($A21&amp;"#"&amp;2,Roster!$I$5:$I$56,0)),""))</f>
        <v/>
      </c>
      <c r="G21" s="70" t="str">
        <f>IF($A21="","",IFERROR(INDEX(Roster!$D$5:$D$56,MATCH($A21&amp;"#"&amp;3,Roster!$I$5:$I$56,0)),""))</f>
        <v/>
      </c>
      <c r="H21" s="70" t="str">
        <f>IF($A21="","",IFERROR(INDEX(Roster!$D$5:$D$56,MATCH($A21&amp;"#"&amp;4,Roster!$I$5:$I$56,0)),""))</f>
        <v/>
      </c>
      <c r="I21" s="70" t="str">
        <f>IF($A21="","",IFERROR(INDEX(Roster!$D$5:$D$56,MATCH($A21&amp;"#"&amp;5,Roster!$I$5:$I$56,0)),""))</f>
        <v/>
      </c>
      <c r="J21" s="70" t="str">
        <f>IF($A21="","",IFERROR(INDEX(Roster!$D$5:$D$56,MATCH($A21&amp;"#"&amp;6,Roster!$I$5:$I$56,0)),""))</f>
        <v/>
      </c>
    </row>
    <row r="23">
      <c r="A23" s="13" t="inlineStr">
        <is>
          <t>Methylene Blue Removal (Project A — DREAM)</t>
        </is>
      </c>
      <c r="C23" s="13">
        <f>SUMIF($B$9:$B$21,"Methylene Blue Removal",$C$9:$C$21)</f>
        <v>24</v>
      </c>
      <c r="D23" s="78">
        <f>SUMIF($B$9:$B$21,"Methylene Blue Removal",$D$9:$D$21)</f>
        <v>400</v>
      </c>
    </row>
    <row r="24">
      <c r="A24" s="13" t="inlineStr">
        <is>
          <t>Oxygenation (Project B — BOOST)</t>
        </is>
      </c>
      <c r="C24" s="13">
        <f>SUMIF($B$9:$B$21,"Oxygenation",$C$9:$C$21)</f>
        <v>28</v>
      </c>
      <c r="D24" s="78">
        <f>SUMIF($B$9:$B$21,"Oxygenation",$D$9:$D$21)</f>
        <v>480</v>
      </c>
    </row>
    <row r="25">
      <c r="A25" s="13" t="inlineStr">
        <is>
          <t>All groups</t>
        </is>
      </c>
      <c r="C25" s="13">
        <f>SUM(C9:C21)</f>
        <v>52</v>
      </c>
      <c r="D25" s="78">
        <f>SUM(D9:D21)</f>
        <v>880</v>
      </c>
    </row>
    <row r="27" ht="30" customHeight="1">
      <c r="A27" s="61" t="inlineStr">
        <is>
          <t>To move a student, change their group on the Roster tab (column E); this page updates. Every group has 4–5 students, so each reaches the $80 cap.</t>
        </is>
      </c>
    </row>
  </sheetData>
  <mergeCells count="8">
    <mergeCell ref="A1:J1"/>
    <mergeCell ref="A2:J2"/>
    <mergeCell ref="A5:B5"/>
    <mergeCell ref="A6:B6"/>
    <mergeCell ref="A23:B23"/>
    <mergeCell ref="A24:B24"/>
    <mergeCell ref="A25:B25"/>
    <mergeCell ref="A27:J27"/>
  </mergeCells>
  <dataValidations count="1">
    <dataValidation type="decimal" operator="greaterThanOrEqual" allowBlank="0" showErrorMessage="1" errorTitle="Budget" error="Enter a dollar amount (0 or more)." sqref="C5:C6">
      <formula1>0</formula1>
    </dataValidation>
  </dataValidations>
  <pageMargins left="0.5" right="0.5" top="0.75" bottom="0.75" header="0.3" footer="0.3"/>
  <pageSetup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Read Me</vt:lpstr>
      <vt:lpstr>Roster</vt:lpstr>
      <vt:lpstr>Groups</vt:lpstr>
      <vt:lpstr>Group Members &amp; Budget</vt:lpstr>
      <vt:lpstr>Quiz 1 Grades</vt:lpstr>
      <vt:lpstr>Performance per Problem</vt:lpstr>
      <vt:lpstr>Class Summary</vt:lpstr>
      <vt:lpstr>Statistical Analysis</vt:lpstr>
      <vt:lpstr>Alpha</vt:lpstr>
      <vt:lpstr>KurtScore</vt:lpstr>
      <vt:lpstr>MaxScore</vt:lpstr>
      <vt:lpstr>MeanScore</vt:lpstr>
      <vt:lpstr>MedianScore</vt:lpstr>
      <vt:lpstr>nGraded</vt:lpstr>
      <vt:lpstr>'Quiz 1 Grades'!Print_Area</vt:lpstr>
      <vt:lpstr>'Statistical Analysis'!Print_Area</vt:lpstr>
      <vt:lpstr>'Quiz 1 Grades'!Print_Titles</vt:lpstr>
      <vt:lpstr>Roster!Print_Titles</vt:lpstr>
      <vt:lpstr>SDScore</vt:lpstr>
      <vt:lpstr>SkewScore</vt:lpstr>
      <vt:lpstr>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Ferreira Garcia, Daniela</cp:lastModifiedBy>
  <dcterms:created xsi:type="dcterms:W3CDTF">2026-09-23T03:59:27Z</dcterms:created>
  <dcterms:modified xsi:type="dcterms:W3CDTF">2026-09-23T04:17:16Z</dcterms:modified>
</cp:coreProperties>
</file>