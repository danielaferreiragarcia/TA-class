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utoFilterDateGrouping="1"/>
  </bookViews>
  <sheets>
    <sheet name="Groups &amp; Budget" sheetId="1" state="visible" r:id="rId1"/>
  </sheets>
  <definedNames>
    <definedName name="_xlnm._FilterDatabase" localSheetId="0" hidden="1">'Groups &amp; Budget'!$G$9:$J$61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mmm\ d\,\ yyyy"/>
    <numFmt numFmtId="165" formatCode="0;[Red]\-0;&quot;today&quot;"/>
    <numFmt numFmtId="166" formatCode="&quot;$&quot;#,##0.00"/>
    <numFmt numFmtId="167" formatCode="&quot;$&quot;#,##0.00;[Red]\-&quot;$&quot;#,##0.00"/>
    <numFmt numFmtId="168" formatCode="0.0"/>
    <numFmt numFmtId="169" formatCode="0.0%"/>
    <numFmt numFmtId="170" formatCode="0.000"/>
    <numFmt numFmtId="171" formatCode="0.0000"/>
    <numFmt numFmtId="172" formatCode="0.000000"/>
    <numFmt numFmtId="173" formatCode="0\ &quot;°C&quot;"/>
    <numFmt numFmtId="174" formatCode="\+0.000;\-0.000;0.000"/>
    <numFmt numFmtId="175" formatCode="&quot;$&quot;#,##0"/>
  </numFmts>
  <fonts count="3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0000FF"/>
      <sz val="10"/>
    </font>
    <font>
      <name val="Arial"/>
      <color rgb="FFA6A6A6"/>
      <sz val="8"/>
    </font>
    <font>
      <name val="Arial"/>
      <i val="1"/>
      <color rgb="FFA6A6A6"/>
      <sz val="8"/>
    </font>
    <font>
      <name val="Arial"/>
      <b val="1"/>
      <color rgb="FFCC0000"/>
      <sz val="12"/>
    </font>
    <font>
      <name val="Arial"/>
      <color rgb="FF0563C1"/>
      <sz val="10"/>
      <u val="single"/>
    </font>
    <font>
      <name val="Arial"/>
      <i val="1"/>
      <color rgb="FF595959"/>
      <sz val="8"/>
    </font>
    <font>
      <name val="Arial"/>
      <b val="1"/>
      <color rgb="FFCC0000"/>
      <sz val="10"/>
    </font>
    <font>
      <name val="Arial"/>
      <color rgb="FF595959"/>
      <sz val="9"/>
    </font>
    <font>
      <name val="Arial"/>
      <b val="1"/>
      <color rgb="FF006100"/>
      <sz val="11"/>
    </font>
    <font>
      <name val="Arial"/>
      <color rgb="FF000000"/>
      <sz val="9"/>
    </font>
    <font>
      <name val="Arial"/>
      <b val="1"/>
      <color rgb="FFC00000"/>
      <sz val="9"/>
    </font>
    <font>
      <name val="Arial"/>
      <i val="1"/>
      <color rgb="FF000000"/>
      <sz val="9"/>
    </font>
    <font>
      <name val="Arial"/>
      <b val="1"/>
      <color rgb="FF000000"/>
      <sz val="9"/>
    </font>
    <font>
      <name val="Arial"/>
      <color rgb="FF0563C1"/>
      <sz val="9"/>
      <u val="single"/>
    </font>
    <font>
      <name val="Arial"/>
      <b val="1"/>
      <color rgb="FFFFFFFF"/>
      <sz val="9"/>
    </font>
    <font>
      <name val="Arial"/>
      <b val="1"/>
      <color rgb="FF000000"/>
      <sz val="16"/>
    </font>
    <font>
      <name val="Arial"/>
      <b val="1"/>
      <color rgb="FF0000FF"/>
      <sz val="13"/>
    </font>
    <font>
      <name val="Arial"/>
      <b val="1"/>
      <color rgb="FFCC0000"/>
      <sz val="16"/>
    </font>
    <font>
      <name val="Arial"/>
      <b val="1"/>
      <color rgb="00FFFFFF"/>
      <sz val="16"/>
    </font>
    <font>
      <name val="Arial"/>
      <color rgb="00595959"/>
      <sz val="9"/>
    </font>
    <font>
      <name val="Arial"/>
      <b val="1"/>
      <color rgb="00CC0000"/>
      <sz val="12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62626"/>
        <bgColor rgb="FF262626"/>
      </patternFill>
    </fill>
    <fill>
      <patternFill patternType="solid">
        <fgColor rgb="FFFFF9E5"/>
        <bgColor rgb="FFFFF9E5"/>
      </patternFill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00CC0000"/>
      </patternFill>
    </fill>
    <fill>
      <patternFill patternType="solid">
        <fgColor rgb="00FFF9E5"/>
      </patternFill>
    </fill>
    <fill>
      <patternFill patternType="solid">
        <fgColor rgb="00262626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0" fillId="3" borderId="1" applyAlignment="1" pivotButton="0" quotePrefix="0" xfId="0">
      <alignment horizontal="center" vertical="center" wrapText="1"/>
    </xf>
    <xf numFmtId="164" fontId="21" fillId="5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" fontId="23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9" fontId="21" fillId="5" borderId="1" applyAlignment="1" pivotButton="0" quotePrefix="0" xfId="0">
      <alignment horizontal="center" vertical="center" wrapText="1"/>
    </xf>
    <xf numFmtId="1" fontId="21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1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1" fontId="5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4" borderId="1" pivotButton="0" quotePrefix="0" xfId="0"/>
    <xf numFmtId="0" fontId="4" fillId="0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164" fontId="6" fillId="4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166" fontId="6" fillId="4" borderId="1" applyAlignment="1" pivotButton="0" quotePrefix="0" xfId="0">
      <alignment horizontal="center" vertical="top" wrapText="1"/>
    </xf>
    <xf numFmtId="166" fontId="4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167" fontId="5" fillId="0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169" fontId="6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70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71" fontId="4" fillId="0" borderId="1" applyAlignment="1" pivotButton="0" quotePrefix="0" xfId="0">
      <alignment horizontal="center" vertical="center" wrapText="1"/>
    </xf>
    <xf numFmtId="172" fontId="4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2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1" fontId="14" fillId="7" borderId="1" applyAlignment="1" pivotButton="0" quotePrefix="0" xfId="0">
      <alignment horizontal="center" vertical="center" wrapText="1"/>
    </xf>
    <xf numFmtId="170" fontId="1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8" fontId="14" fillId="7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5" fillId="0" borderId="1" applyAlignment="1" pivotButton="0" quotePrefix="0" xfId="0">
      <alignment horizontal="center" vertical="top"/>
    </xf>
    <xf numFmtId="0" fontId="18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1" fontId="6" fillId="4" borderId="1" applyAlignment="1" pivotButton="0" quotePrefix="0" xfId="0">
      <alignment horizontal="center" vertical="top"/>
    </xf>
    <xf numFmtId="2" fontId="5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164" fontId="6" fillId="4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168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73" fontId="4" fillId="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indent="1"/>
    </xf>
    <xf numFmtId="174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0" fontId="24" fillId="9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75" fontId="28" fillId="10" borderId="6" pivotButton="0" quotePrefix="0" xfId="0"/>
    <xf numFmtId="0" fontId="29" fillId="11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30" fillId="0" borderId="6" applyAlignment="1" pivotButton="0" quotePrefix="0" xfId="0">
      <alignment horizontal="center"/>
    </xf>
    <xf numFmtId="0" fontId="27" fillId="0" borderId="6" pivotButton="0" quotePrefix="0" xfId="0"/>
    <xf numFmtId="0" fontId="27" fillId="0" borderId="6" applyAlignment="1" pivotButton="0" quotePrefix="0" xfId="0">
      <alignment horizontal="center"/>
    </xf>
    <xf numFmtId="175" fontId="27" fillId="0" borderId="6" applyAlignment="1" pivotButton="0" quotePrefix="0" xfId="0">
      <alignment horizontal="center"/>
    </xf>
    <xf numFmtId="0" fontId="32" fillId="0" borderId="6" applyAlignment="1" pivotButton="0" quotePrefix="0" xfId="0">
      <alignment horizontal="center"/>
    </xf>
    <xf numFmtId="0" fontId="28" fillId="10" borderId="6" applyAlignment="1" pivotButton="0" quotePrefix="0" xfId="0">
      <alignment horizontal="center"/>
    </xf>
    <xf numFmtId="0" fontId="32" fillId="0" borderId="6" pivotButton="0" quotePrefix="0" xfId="0"/>
    <xf numFmtId="0" fontId="30" fillId="12" borderId="6" pivotButton="0" quotePrefix="0" xfId="0"/>
    <xf numFmtId="0" fontId="30" fillId="12" borderId="6" applyAlignment="1" pivotButton="0" quotePrefix="0" xfId="0">
      <alignment horizontal="center"/>
    </xf>
    <xf numFmtId="175" fontId="30" fillId="12" borderId="6" pivotButton="0" quotePrefix="0" xfId="0"/>
    <xf numFmtId="0" fontId="31" fillId="0" borderId="0" pivotButton="0" quotePrefix="0" xfId="0"/>
    <xf numFmtId="0" fontId="0" fillId="0" borderId="10" pivotButton="0" quotePrefix="0" xfId="0"/>
  </cellXfs>
  <cellStyles count="1">
    <cellStyle name="Normal" xfId="0" builtinId="0"/>
  </cellStyles>
  <dxfs count="19">
    <dxf>
      <font>
        <name val="Arial"/>
        <b val="1"/>
        <color rgb="FF000000"/>
        <sz val="11"/>
      </font>
      <fill>
        <patternFill patternType="solid">
          <fgColor rgb="FFFFD966"/>
          <bgColor rgb="FFFFD966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color rgb="FF375623"/>
        <sz val="10"/>
      </font>
      <fill>
        <patternFill patternType="solid">
          <fgColor rgb="FFE2EFDA"/>
          <bgColor rgb="FFE2EFDA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1F4E79"/>
        <sz val="10"/>
      </font>
      <fill>
        <patternFill patternType="solid">
          <fgColor rgb="FFDDEBF7"/>
          <bgColor rgb="FFDDEBF7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C00000"/>
        <sz val="10"/>
      </font>
    </dxf>
    <dxf>
      <font>
        <name val="Arial"/>
        <color rgb="FF006100"/>
        <sz val="10"/>
      </font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5B3A8C"/>
        <sz val="10"/>
      </font>
      <fill>
        <patternFill patternType="solid">
          <fgColor rgb="FFEDE7F6"/>
          <bgColor rgb="FFEDE7F6"/>
        </patternFill>
      </fill>
    </dxf>
    <dxf>
      <font>
        <name val="Arial"/>
        <b val="1"/>
        <color rgb="FFC65911"/>
        <sz val="10"/>
      </font>
      <fill>
        <patternFill patternType="solid">
          <fgColor rgb="FFFCE4D6"/>
          <bgColor rgb="FFFCE4D6"/>
        </patternFill>
      </fill>
    </dxf>
    <dxf>
      <font>
        <name val="Arial"/>
        <b val="1"/>
        <color rgb="FF1F4E79"/>
        <sz val="10"/>
      </font>
      <fill>
        <patternFill patternType="solid">
          <fgColor rgb="FFDDEBF7"/>
          <bgColor rgb="FFDDEBF7"/>
        </patternFill>
      </fill>
    </dxf>
    <dxf>
      <font>
        <name val="Arial"/>
        <b val="1"/>
        <color rgb="FFC00000"/>
        <sz val="10"/>
      </font>
    </dxf>
    <dxf>
      <font>
        <name val="Arial"/>
        <strike val="1"/>
        <color rgb="FF808080"/>
        <sz val="10"/>
      </font>
      <fill>
        <patternFill patternType="solid">
          <fgColor rgb="FFE2EFDA"/>
          <bgColor rgb="FFE2EFDA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style="81" min="1" max="1"/>
    <col width="22" customWidth="1" style="81" min="2" max="2"/>
    <col width="14" customWidth="1" style="81" min="3" max="3"/>
    <col width="22" customWidth="1" style="81" min="4" max="4"/>
    <col width="12" customWidth="1" style="81" min="5" max="5"/>
    <col width="3" customWidth="1" style="81" min="6" max="6"/>
    <col width="5" customWidth="1" style="81" min="7" max="7"/>
    <col width="9" customWidth="1" style="81" min="8" max="8"/>
    <col width="34" customWidth="1" style="81" min="9" max="9"/>
    <col width="26" customWidth="1" style="81" min="10" max="10"/>
  </cols>
  <sheetData>
    <row r="1">
      <c r="A1" s="110" t="inlineStr">
        <is>
          <t>Groups &amp; Budget — who is in each group</t>
        </is>
      </c>
    </row>
    <row r="2">
      <c r="A2" s="111" t="inlineStr">
        <is>
          <t>From Team_Assignments_Final – Engineering Design 1. Budget = $ per student × students, capped per group. Blue cells are inputs; the summary updates if you move a student in the roster (column H).</t>
        </is>
      </c>
    </row>
    <row r="4">
      <c r="A4" s="112" t="inlineStr">
        <is>
          <t>Budget rule</t>
        </is>
      </c>
    </row>
    <row r="5">
      <c r="A5" s="113" t="inlineStr">
        <is>
          <t>Budget per student ($)</t>
        </is>
      </c>
      <c r="D5" s="114" t="n">
        <v>20</v>
      </c>
    </row>
    <row r="6">
      <c r="A6" s="113" t="inlineStr">
        <is>
          <t>Maximum per group ($)</t>
        </is>
      </c>
      <c r="D6" s="114" t="n">
        <v>80</v>
      </c>
    </row>
    <row r="8">
      <c r="A8" s="112" t="inlineStr">
        <is>
          <t>Group summary</t>
        </is>
      </c>
      <c r="G8" s="112" t="inlineStr">
        <is>
          <t>Roster — student by group</t>
        </is>
      </c>
    </row>
    <row r="9">
      <c r="A9" s="115" t="inlineStr">
        <is>
          <t>Group</t>
        </is>
      </c>
      <c r="B9" s="115" t="inlineStr">
        <is>
          <t>Project</t>
        </is>
      </c>
      <c r="C9" s="116" t="n"/>
      <c r="D9" s="115" t="inlineStr">
        <is>
          <t>Students</t>
        </is>
      </c>
      <c r="E9" s="115" t="inlineStr">
        <is>
          <t>Budget ($)</t>
        </is>
      </c>
      <c r="G9" s="115" t="inlineStr">
        <is>
          <t>#</t>
        </is>
      </c>
      <c r="H9" s="115" t="inlineStr">
        <is>
          <t>Group</t>
        </is>
      </c>
      <c r="I9" s="115" t="inlineStr">
        <is>
          <t>Project</t>
        </is>
      </c>
      <c r="J9" s="115" t="inlineStr">
        <is>
          <t>Student</t>
        </is>
      </c>
    </row>
    <row r="10">
      <c r="A10" s="117" t="inlineStr">
        <is>
          <t>1A</t>
        </is>
      </c>
      <c r="B10" s="118" t="inlineStr">
        <is>
          <t>A — DREAM (methylene blue removal)</t>
        </is>
      </c>
      <c r="C10" s="116" t="n"/>
      <c r="D10" s="119">
        <f>SUMPRODUCT(($H$10:$H$61=A10)*1)</f>
        <v/>
      </c>
      <c r="E10" s="120">
        <f>MIN(D10*$D$5,$D$6)</f>
        <v/>
      </c>
      <c r="G10" s="121" t="n">
        <v>1</v>
      </c>
      <c r="H10" s="122" t="inlineStr">
        <is>
          <t>1A</t>
        </is>
      </c>
      <c r="I10" s="123" t="inlineStr">
        <is>
          <t>A — DREAM (methylene blue removal)</t>
        </is>
      </c>
      <c r="J10" s="123" t="inlineStr">
        <is>
          <t>Sonu acharya</t>
        </is>
      </c>
    </row>
    <row r="11">
      <c r="A11" s="117" t="inlineStr">
        <is>
          <t>2A</t>
        </is>
      </c>
      <c r="B11" s="118" t="inlineStr">
        <is>
          <t>A — DREAM (methylene blue removal)</t>
        </is>
      </c>
      <c r="C11" s="116" t="n"/>
      <c r="D11" s="119">
        <f>SUMPRODUCT(($H$10:$H$61=A11)*1)</f>
        <v/>
      </c>
      <c r="E11" s="120">
        <f>MIN(D11*$D$5,$D$6)</f>
        <v/>
      </c>
      <c r="G11" s="121" t="n">
        <v>2</v>
      </c>
      <c r="H11" s="122" t="inlineStr">
        <is>
          <t>1A</t>
        </is>
      </c>
      <c r="I11" s="123" t="inlineStr">
        <is>
          <t>A — DREAM (methylene blue removal)</t>
        </is>
      </c>
      <c r="J11" s="123" t="inlineStr">
        <is>
          <t>Elizabeth Dillah</t>
        </is>
      </c>
    </row>
    <row r="12">
      <c r="A12" s="117" t="inlineStr">
        <is>
          <t>3A</t>
        </is>
      </c>
      <c r="B12" s="118" t="inlineStr">
        <is>
          <t>A — DREAM (methylene blue removal)</t>
        </is>
      </c>
      <c r="C12" s="116" t="n"/>
      <c r="D12" s="119">
        <f>SUMPRODUCT(($H$10:$H$61=A12)*1)</f>
        <v/>
      </c>
      <c r="E12" s="120">
        <f>MIN(D12*$D$5,$D$6)</f>
        <v/>
      </c>
      <c r="G12" s="121" t="n">
        <v>3</v>
      </c>
      <c r="H12" s="122" t="inlineStr">
        <is>
          <t>1A</t>
        </is>
      </c>
      <c r="I12" s="123" t="inlineStr">
        <is>
          <t>A — DREAM (methylene blue removal)</t>
        </is>
      </c>
      <c r="J12" s="123" t="inlineStr">
        <is>
          <t>Macie Perrio</t>
        </is>
      </c>
    </row>
    <row r="13">
      <c r="A13" s="117" t="inlineStr">
        <is>
          <t>4A</t>
        </is>
      </c>
      <c r="B13" s="118" t="inlineStr">
        <is>
          <t>A — DREAM (methylene blue removal)</t>
        </is>
      </c>
      <c r="C13" s="116" t="n"/>
      <c r="D13" s="119">
        <f>SUMPRODUCT(($H$10:$H$61=A13)*1)</f>
        <v/>
      </c>
      <c r="E13" s="120">
        <f>MIN(D13*$D$5,$D$6)</f>
        <v/>
      </c>
      <c r="G13" s="121" t="n">
        <v>4</v>
      </c>
      <c r="H13" s="122" t="inlineStr">
        <is>
          <t>1A</t>
        </is>
      </c>
      <c r="I13" s="123" t="inlineStr">
        <is>
          <t>A — DREAM (methylene blue removal)</t>
        </is>
      </c>
      <c r="J13" s="123" t="inlineStr">
        <is>
          <t>Hayden Albert</t>
        </is>
      </c>
    </row>
    <row r="14">
      <c r="A14" s="117" t="inlineStr">
        <is>
          <t>5A</t>
        </is>
      </c>
      <c r="B14" s="118" t="inlineStr">
        <is>
          <t>A — DREAM (methylene blue removal)</t>
        </is>
      </c>
      <c r="C14" s="116" t="n"/>
      <c r="D14" s="119">
        <f>SUMPRODUCT(($H$10:$H$61=A14)*1)</f>
        <v/>
      </c>
      <c r="E14" s="120">
        <f>MIN(D14*$D$5,$D$6)</f>
        <v/>
      </c>
      <c r="G14" s="121" t="n">
        <v>5</v>
      </c>
      <c r="H14" s="122" t="inlineStr">
        <is>
          <t>1A</t>
        </is>
      </c>
      <c r="I14" s="123" t="inlineStr">
        <is>
          <t>A — DREAM (methylene blue removal)</t>
        </is>
      </c>
      <c r="J14" s="123" t="inlineStr">
        <is>
          <t>Hunter Gates</t>
        </is>
      </c>
    </row>
    <row r="15">
      <c r="A15" s="117" t="inlineStr">
        <is>
          <t>1B</t>
        </is>
      </c>
      <c r="B15" s="118" t="inlineStr">
        <is>
          <t>B — BOOST (oxygenation)</t>
        </is>
      </c>
      <c r="C15" s="116" t="n"/>
      <c r="D15" s="119">
        <f>SUMPRODUCT(($H$10:$H$61=A15)*1)</f>
        <v/>
      </c>
      <c r="E15" s="120">
        <f>MIN(D15*$D$5,$D$6)</f>
        <v/>
      </c>
      <c r="G15" s="121" t="n">
        <v>6</v>
      </c>
      <c r="H15" s="122" t="inlineStr">
        <is>
          <t>2A</t>
        </is>
      </c>
      <c r="I15" s="123" t="inlineStr">
        <is>
          <t>A — DREAM (methylene blue removal)</t>
        </is>
      </c>
      <c r="J15" s="123" t="inlineStr">
        <is>
          <t>Rachel Holmes</t>
        </is>
      </c>
    </row>
    <row r="16">
      <c r="A16" s="117" t="inlineStr">
        <is>
          <t>2B</t>
        </is>
      </c>
      <c r="B16" s="118" t="inlineStr">
        <is>
          <t>B — BOOST (oxygenation)</t>
        </is>
      </c>
      <c r="C16" s="116" t="n"/>
      <c r="D16" s="119">
        <f>SUMPRODUCT(($H$10:$H$61=A16)*1)</f>
        <v/>
      </c>
      <c r="E16" s="120">
        <f>MIN(D16*$D$5,$D$6)</f>
        <v/>
      </c>
      <c r="G16" s="121" t="n">
        <v>7</v>
      </c>
      <c r="H16" s="122" t="inlineStr">
        <is>
          <t>2A</t>
        </is>
      </c>
      <c r="I16" s="123" t="inlineStr">
        <is>
          <t>A — DREAM (methylene blue removal)</t>
        </is>
      </c>
      <c r="J16" s="123" t="inlineStr">
        <is>
          <t>Shaman Wildman</t>
        </is>
      </c>
    </row>
    <row r="17">
      <c r="A17" s="117" t="inlineStr">
        <is>
          <t>3B</t>
        </is>
      </c>
      <c r="B17" s="118" t="inlineStr">
        <is>
          <t>B — BOOST (oxygenation)</t>
        </is>
      </c>
      <c r="C17" s="116" t="n"/>
      <c r="D17" s="119">
        <f>SUMPRODUCT(($H$10:$H$61=A17)*1)</f>
        <v/>
      </c>
      <c r="E17" s="120">
        <f>MIN(D17*$D$5,$D$6)</f>
        <v/>
      </c>
      <c r="G17" s="121" t="n">
        <v>8</v>
      </c>
      <c r="H17" s="122" t="inlineStr">
        <is>
          <t>2A</t>
        </is>
      </c>
      <c r="I17" s="123" t="inlineStr">
        <is>
          <t>A — DREAM (methylene blue removal)</t>
        </is>
      </c>
      <c r="J17" s="123" t="inlineStr">
        <is>
          <t>Trevin Cutrer</t>
        </is>
      </c>
    </row>
    <row r="18">
      <c r="A18" s="117" t="inlineStr">
        <is>
          <t>4B</t>
        </is>
      </c>
      <c r="B18" s="118" t="inlineStr">
        <is>
          <t>B — BOOST (oxygenation)</t>
        </is>
      </c>
      <c r="C18" s="116" t="n"/>
      <c r="D18" s="119">
        <f>SUMPRODUCT(($H$10:$H$61=A18)*1)</f>
        <v/>
      </c>
      <c r="E18" s="120">
        <f>MIN(D18*$D$5,$D$6)</f>
        <v/>
      </c>
      <c r="G18" s="121" t="n">
        <v>9</v>
      </c>
      <c r="H18" s="122" t="inlineStr">
        <is>
          <t>2A</t>
        </is>
      </c>
      <c r="I18" s="123" t="inlineStr">
        <is>
          <t>A — DREAM (methylene blue removal)</t>
        </is>
      </c>
      <c r="J18" s="123" t="inlineStr">
        <is>
          <t>Noah Rodriguez</t>
        </is>
      </c>
    </row>
    <row r="19">
      <c r="A19" s="117" t="inlineStr">
        <is>
          <t>5B</t>
        </is>
      </c>
      <c r="B19" s="118" t="inlineStr">
        <is>
          <t>B — BOOST (oxygenation)</t>
        </is>
      </c>
      <c r="C19" s="116" t="n"/>
      <c r="D19" s="119">
        <f>SUMPRODUCT(($H$10:$H$61=A19)*1)</f>
        <v/>
      </c>
      <c r="E19" s="120">
        <f>MIN(D19*$D$5,$D$6)</f>
        <v/>
      </c>
      <c r="G19" s="121" t="n">
        <v>10</v>
      </c>
      <c r="H19" s="122" t="inlineStr">
        <is>
          <t>3A</t>
        </is>
      </c>
      <c r="I19" s="123" t="inlineStr">
        <is>
          <t>A — DREAM (methylene blue removal)</t>
        </is>
      </c>
      <c r="J19" s="123" t="inlineStr">
        <is>
          <t>Mia Cuellar</t>
        </is>
      </c>
    </row>
    <row r="20">
      <c r="A20" s="117" t="inlineStr">
        <is>
          <t>6B</t>
        </is>
      </c>
      <c r="B20" s="118" t="inlineStr">
        <is>
          <t>B — BOOST (oxygenation)</t>
        </is>
      </c>
      <c r="C20" s="116" t="n"/>
      <c r="D20" s="119">
        <f>SUMPRODUCT(($H$10:$H$61=A20)*1)</f>
        <v/>
      </c>
      <c r="E20" s="120">
        <f>MIN(D20*$D$5,$D$6)</f>
        <v/>
      </c>
      <c r="G20" s="121" t="n">
        <v>11</v>
      </c>
      <c r="H20" s="122" t="inlineStr">
        <is>
          <t>3A</t>
        </is>
      </c>
      <c r="I20" s="123" t="inlineStr">
        <is>
          <t>A — DREAM (methylene blue removal)</t>
        </is>
      </c>
      <c r="J20" s="123" t="inlineStr">
        <is>
          <t>Kara Larsen</t>
        </is>
      </c>
    </row>
    <row r="21">
      <c r="G21" s="121" t="n">
        <v>12</v>
      </c>
      <c r="H21" s="122" t="inlineStr">
        <is>
          <t>3A</t>
        </is>
      </c>
      <c r="I21" s="123" t="inlineStr">
        <is>
          <t>A — DREAM (methylene blue removal)</t>
        </is>
      </c>
      <c r="J21" s="123" t="inlineStr">
        <is>
          <t>Landon Atkins</t>
        </is>
      </c>
    </row>
    <row r="22">
      <c r="A22" s="124" t="inlineStr">
        <is>
          <t>Project A — DREAM</t>
        </is>
      </c>
      <c r="B22" s="128" t="n"/>
      <c r="C22" s="116" t="n"/>
      <c r="D22" s="125">
        <f>COUNTIF($B$10:$B$20,"A — *")&amp;" groups · "&amp;SUMIF($B$10:$B$20,"A — *",$D$10:$D$20)&amp;" students"</f>
        <v/>
      </c>
      <c r="E22" s="126">
        <f>SUMIF($B$10:$B$20,"A — *",$E$10:$E$20)</f>
        <v/>
      </c>
      <c r="G22" s="121" t="n">
        <v>13</v>
      </c>
      <c r="H22" s="122" t="inlineStr">
        <is>
          <t>3A</t>
        </is>
      </c>
      <c r="I22" s="123" t="inlineStr">
        <is>
          <t>A — DREAM (methylene blue removal)</t>
        </is>
      </c>
      <c r="J22" s="123" t="inlineStr">
        <is>
          <t>Connor Felux</t>
        </is>
      </c>
    </row>
    <row r="23">
      <c r="A23" s="124" t="inlineStr">
        <is>
          <t>Project B — BOOST</t>
        </is>
      </c>
      <c r="B23" s="128" t="n"/>
      <c r="C23" s="116" t="n"/>
      <c r="D23" s="125">
        <f>COUNTIF($B$10:$B$20,"B — *")&amp;" groups · "&amp;SUMIF($B$10:$B$20,"B — *",$D$10:$D$20)&amp;" students"</f>
        <v/>
      </c>
      <c r="E23" s="126">
        <f>SUMIF($B$10:$B$20,"B — *",$E$10:$E$20)</f>
        <v/>
      </c>
      <c r="G23" s="121" t="n">
        <v>14</v>
      </c>
      <c r="H23" s="122" t="inlineStr">
        <is>
          <t>3A</t>
        </is>
      </c>
      <c r="I23" s="123" t="inlineStr">
        <is>
          <t>A — DREAM (methylene blue removal)</t>
        </is>
      </c>
      <c r="J23" s="123" t="inlineStr">
        <is>
          <t>Axel Cruz-Hernandez</t>
        </is>
      </c>
    </row>
    <row r="24">
      <c r="A24" s="124" t="inlineStr">
        <is>
          <t>All groups</t>
        </is>
      </c>
      <c r="B24" s="128" t="n"/>
      <c r="C24" s="116" t="n"/>
      <c r="D24" s="125">
        <f>COUNTA($A$10:$A$20)&amp;" groups · "&amp;SUM($D$10:$D$20)&amp;" students"</f>
        <v/>
      </c>
      <c r="E24" s="126">
        <f>SUM($E$10:$E$20)</f>
        <v/>
      </c>
      <c r="G24" s="121" t="n">
        <v>15</v>
      </c>
      <c r="H24" s="122" t="inlineStr">
        <is>
          <t>4A</t>
        </is>
      </c>
      <c r="I24" s="123" t="inlineStr">
        <is>
          <t>A — DREAM (methylene blue removal)</t>
        </is>
      </c>
      <c r="J24" s="123" t="inlineStr">
        <is>
          <t>Brinda Gayen</t>
        </is>
      </c>
    </row>
    <row r="25">
      <c r="G25" s="121" t="n">
        <v>16</v>
      </c>
      <c r="H25" s="122" t="inlineStr">
        <is>
          <t>4A</t>
        </is>
      </c>
      <c r="I25" s="123" t="inlineStr">
        <is>
          <t>A — DREAM (methylene blue removal)</t>
        </is>
      </c>
      <c r="J25" s="123" t="inlineStr">
        <is>
          <t>Emmalie Potter</t>
        </is>
      </c>
    </row>
    <row r="26">
      <c r="A26" s="127" t="inlineStr">
        <is>
          <t>Every group has 4–5 students, so every group reaches the $80 cap.</t>
        </is>
      </c>
      <c r="G26" s="121" t="n">
        <v>17</v>
      </c>
      <c r="H26" s="122" t="inlineStr">
        <is>
          <t>4A</t>
        </is>
      </c>
      <c r="I26" s="123" t="inlineStr">
        <is>
          <t>A — DREAM (methylene blue removal)</t>
        </is>
      </c>
      <c r="J26" s="123" t="inlineStr">
        <is>
          <t>Jeremy Brown</t>
        </is>
      </c>
    </row>
    <row r="27">
      <c r="G27" s="121" t="n">
        <v>18</v>
      </c>
      <c r="H27" s="122" t="inlineStr">
        <is>
          <t>4A</t>
        </is>
      </c>
      <c r="I27" s="123" t="inlineStr">
        <is>
          <t>A — DREAM (methylene blue removal)</t>
        </is>
      </c>
      <c r="J27" s="123" t="inlineStr">
        <is>
          <t>JD Andrade</t>
        </is>
      </c>
    </row>
    <row r="28">
      <c r="G28" s="121" t="n">
        <v>19</v>
      </c>
      <c r="H28" s="122" t="inlineStr">
        <is>
          <t>4A</t>
        </is>
      </c>
      <c r="I28" s="123" t="inlineStr">
        <is>
          <t>A — DREAM (methylene blue removal)</t>
        </is>
      </c>
      <c r="J28" s="123" t="inlineStr">
        <is>
          <t>Devin Cuellar</t>
        </is>
      </c>
    </row>
    <row r="29">
      <c r="G29" s="121" t="n">
        <v>20</v>
      </c>
      <c r="H29" s="122" t="inlineStr">
        <is>
          <t>5A</t>
        </is>
      </c>
      <c r="I29" s="123" t="inlineStr">
        <is>
          <t>A — DREAM (methylene blue removal)</t>
        </is>
      </c>
      <c r="J29" s="123" t="inlineStr">
        <is>
          <t>Aaron Linhart</t>
        </is>
      </c>
    </row>
    <row r="30">
      <c r="G30" s="121" t="n">
        <v>21</v>
      </c>
      <c r="H30" s="122" t="inlineStr">
        <is>
          <t>5A</t>
        </is>
      </c>
      <c r="I30" s="123" t="inlineStr">
        <is>
          <t>A — DREAM (methylene blue removal)</t>
        </is>
      </c>
      <c r="J30" s="123" t="inlineStr">
        <is>
          <t>Diego Leal</t>
        </is>
      </c>
    </row>
    <row r="31">
      <c r="G31" s="121" t="n">
        <v>22</v>
      </c>
      <c r="H31" s="122" t="inlineStr">
        <is>
          <t>5A</t>
        </is>
      </c>
      <c r="I31" s="123" t="inlineStr">
        <is>
          <t>A — DREAM (methylene blue removal)</t>
        </is>
      </c>
      <c r="J31" s="123" t="inlineStr">
        <is>
          <t>Angel Camarillo</t>
        </is>
      </c>
    </row>
    <row r="32">
      <c r="G32" s="121" t="n">
        <v>23</v>
      </c>
      <c r="H32" s="122" t="inlineStr">
        <is>
          <t>5A</t>
        </is>
      </c>
      <c r="I32" s="123" t="inlineStr">
        <is>
          <t>A — DREAM (methylene blue removal)</t>
        </is>
      </c>
      <c r="J32" s="123" t="inlineStr">
        <is>
          <t>Mihal Jacob</t>
        </is>
      </c>
    </row>
    <row r="33">
      <c r="G33" s="121" t="n">
        <v>24</v>
      </c>
      <c r="H33" s="122" t="inlineStr">
        <is>
          <t>5A</t>
        </is>
      </c>
      <c r="I33" s="123" t="inlineStr">
        <is>
          <t>A — DREAM (methylene blue removal)</t>
        </is>
      </c>
      <c r="J33" s="123" t="inlineStr">
        <is>
          <t>David Abagwe</t>
        </is>
      </c>
    </row>
    <row r="34">
      <c r="G34" s="121" t="n">
        <v>25</v>
      </c>
      <c r="H34" s="122" t="inlineStr">
        <is>
          <t>1B</t>
        </is>
      </c>
      <c r="I34" s="123" t="inlineStr">
        <is>
          <t>B — BOOST (oxygenation)</t>
        </is>
      </c>
      <c r="J34" s="123" t="inlineStr">
        <is>
          <t>Gavin Cappel</t>
        </is>
      </c>
    </row>
    <row r="35">
      <c r="G35" s="121" t="n">
        <v>26</v>
      </c>
      <c r="H35" s="122" t="inlineStr">
        <is>
          <t>1B</t>
        </is>
      </c>
      <c r="I35" s="123" t="inlineStr">
        <is>
          <t>B — BOOST (oxygenation)</t>
        </is>
      </c>
      <c r="J35" s="123" t="inlineStr">
        <is>
          <t>Eric Calderon</t>
        </is>
      </c>
    </row>
    <row r="36">
      <c r="G36" s="121" t="n">
        <v>27</v>
      </c>
      <c r="H36" s="122" t="inlineStr">
        <is>
          <t>1B</t>
        </is>
      </c>
      <c r="I36" s="123" t="inlineStr">
        <is>
          <t>B — BOOST (oxygenation)</t>
        </is>
      </c>
      <c r="J36" s="123" t="inlineStr">
        <is>
          <t>Kayra Rushing</t>
        </is>
      </c>
    </row>
    <row r="37">
      <c r="G37" s="121" t="n">
        <v>28</v>
      </c>
      <c r="H37" s="122" t="inlineStr">
        <is>
          <t>1B</t>
        </is>
      </c>
      <c r="I37" s="123" t="inlineStr">
        <is>
          <t>B — BOOST (oxygenation)</t>
        </is>
      </c>
      <c r="J37" s="123" t="inlineStr">
        <is>
          <t>Isabella Juarez</t>
        </is>
      </c>
    </row>
    <row r="38">
      <c r="G38" s="121" t="n">
        <v>29</v>
      </c>
      <c r="H38" s="122" t="inlineStr">
        <is>
          <t>1B</t>
        </is>
      </c>
      <c r="I38" s="123" t="inlineStr">
        <is>
          <t>B — BOOST (oxygenation)</t>
        </is>
      </c>
      <c r="J38" s="123" t="inlineStr">
        <is>
          <t>Ryan Borkland</t>
        </is>
      </c>
    </row>
    <row r="39">
      <c r="G39" s="121" t="n">
        <v>30</v>
      </c>
      <c r="H39" s="122" t="inlineStr">
        <is>
          <t>2B</t>
        </is>
      </c>
      <c r="I39" s="123" t="inlineStr">
        <is>
          <t>B — BOOST (oxygenation)</t>
        </is>
      </c>
      <c r="J39" s="123" t="inlineStr">
        <is>
          <t>Luke Presa</t>
        </is>
      </c>
    </row>
    <row r="40">
      <c r="G40" s="121" t="n">
        <v>31</v>
      </c>
      <c r="H40" s="122" t="inlineStr">
        <is>
          <t>2B</t>
        </is>
      </c>
      <c r="I40" s="123" t="inlineStr">
        <is>
          <t>B — BOOST (oxygenation)</t>
        </is>
      </c>
      <c r="J40" s="123" t="inlineStr">
        <is>
          <t>Benjamin Reyes</t>
        </is>
      </c>
    </row>
    <row r="41">
      <c r="G41" s="121" t="n">
        <v>32</v>
      </c>
      <c r="H41" s="122" t="inlineStr">
        <is>
          <t>2B</t>
        </is>
      </c>
      <c r="I41" s="123" t="inlineStr">
        <is>
          <t>B — BOOST (oxygenation)</t>
        </is>
      </c>
      <c r="J41" s="123" t="inlineStr">
        <is>
          <t>Victoria Gaytan</t>
        </is>
      </c>
    </row>
    <row r="42">
      <c r="G42" s="121" t="n">
        <v>33</v>
      </c>
      <c r="H42" s="122" t="inlineStr">
        <is>
          <t>2B</t>
        </is>
      </c>
      <c r="I42" s="123" t="inlineStr">
        <is>
          <t>B — BOOST (oxygenation)</t>
        </is>
      </c>
      <c r="J42" s="123" t="inlineStr">
        <is>
          <t>Emily Ickert</t>
        </is>
      </c>
    </row>
    <row r="43">
      <c r="G43" s="121" t="n">
        <v>34</v>
      </c>
      <c r="H43" s="122" t="inlineStr">
        <is>
          <t>2B</t>
        </is>
      </c>
      <c r="I43" s="123" t="inlineStr">
        <is>
          <t>B — BOOST (oxygenation)</t>
        </is>
      </c>
      <c r="J43" s="123" t="inlineStr">
        <is>
          <t>Veditha Chelikani</t>
        </is>
      </c>
    </row>
    <row r="44">
      <c r="G44" s="121" t="n">
        <v>35</v>
      </c>
      <c r="H44" s="122" t="inlineStr">
        <is>
          <t>3B</t>
        </is>
      </c>
      <c r="I44" s="123" t="inlineStr">
        <is>
          <t>B — BOOST (oxygenation)</t>
        </is>
      </c>
      <c r="J44" s="123" t="inlineStr">
        <is>
          <t>Shawn Kwende</t>
        </is>
      </c>
    </row>
    <row r="45">
      <c r="G45" s="121" t="n">
        <v>36</v>
      </c>
      <c r="H45" s="122" t="inlineStr">
        <is>
          <t>3B</t>
        </is>
      </c>
      <c r="I45" s="123" t="inlineStr">
        <is>
          <t>B — BOOST (oxygenation)</t>
        </is>
      </c>
      <c r="J45" s="123" t="inlineStr">
        <is>
          <t>Brooke Salada</t>
        </is>
      </c>
    </row>
    <row r="46">
      <c r="G46" s="121" t="n">
        <v>37</v>
      </c>
      <c r="H46" s="122" t="inlineStr">
        <is>
          <t>3B</t>
        </is>
      </c>
      <c r="I46" s="123" t="inlineStr">
        <is>
          <t>B — BOOST (oxygenation)</t>
        </is>
      </c>
      <c r="J46" s="123" t="inlineStr">
        <is>
          <t>Lani Allen</t>
        </is>
      </c>
    </row>
    <row r="47">
      <c r="G47" s="121" t="n">
        <v>38</v>
      </c>
      <c r="H47" s="122" t="inlineStr">
        <is>
          <t>3B</t>
        </is>
      </c>
      <c r="I47" s="123" t="inlineStr">
        <is>
          <t>B — BOOST (oxygenation)</t>
        </is>
      </c>
      <c r="J47" s="123" t="inlineStr">
        <is>
          <t>Jack Elsas</t>
        </is>
      </c>
    </row>
    <row r="48">
      <c r="G48" s="121" t="n">
        <v>39</v>
      </c>
      <c r="H48" s="122" t="inlineStr">
        <is>
          <t>3B</t>
        </is>
      </c>
      <c r="I48" s="123" t="inlineStr">
        <is>
          <t>B — BOOST (oxygenation)</t>
        </is>
      </c>
      <c r="J48" s="123" t="inlineStr">
        <is>
          <t>Jared O'neal</t>
        </is>
      </c>
    </row>
    <row r="49">
      <c r="G49" s="121" t="n">
        <v>40</v>
      </c>
      <c r="H49" s="122" t="inlineStr">
        <is>
          <t>4B</t>
        </is>
      </c>
      <c r="I49" s="123" t="inlineStr">
        <is>
          <t>B — BOOST (oxygenation)</t>
        </is>
      </c>
      <c r="J49" s="123" t="inlineStr">
        <is>
          <t>Roman Romashkin</t>
        </is>
      </c>
    </row>
    <row r="50">
      <c r="G50" s="121" t="n">
        <v>41</v>
      </c>
      <c r="H50" s="122" t="inlineStr">
        <is>
          <t>4B</t>
        </is>
      </c>
      <c r="I50" s="123" t="inlineStr">
        <is>
          <t>B — BOOST (oxygenation)</t>
        </is>
      </c>
      <c r="J50" s="123" t="inlineStr">
        <is>
          <t>Ashton Adams</t>
        </is>
      </c>
    </row>
    <row r="51">
      <c r="G51" s="121" t="n">
        <v>42</v>
      </c>
      <c r="H51" s="122" t="inlineStr">
        <is>
          <t>4B</t>
        </is>
      </c>
      <c r="I51" s="123" t="inlineStr">
        <is>
          <t>B — BOOST (oxygenation)</t>
        </is>
      </c>
      <c r="J51" s="123" t="inlineStr">
        <is>
          <t>Jocelyn Gonzalez</t>
        </is>
      </c>
    </row>
    <row r="52">
      <c r="G52" s="121" t="n">
        <v>43</v>
      </c>
      <c r="H52" s="122" t="inlineStr">
        <is>
          <t>4B</t>
        </is>
      </c>
      <c r="I52" s="123" t="inlineStr">
        <is>
          <t>B — BOOST (oxygenation)</t>
        </is>
      </c>
      <c r="J52" s="123" t="inlineStr">
        <is>
          <t>Jenna Koestler</t>
        </is>
      </c>
    </row>
    <row r="53">
      <c r="G53" s="121" t="n">
        <v>44</v>
      </c>
      <c r="H53" s="122" t="inlineStr">
        <is>
          <t>4B</t>
        </is>
      </c>
      <c r="I53" s="123" t="inlineStr">
        <is>
          <t>B — BOOST (oxygenation)</t>
        </is>
      </c>
      <c r="J53" s="123" t="inlineStr">
        <is>
          <t>Michelle Gutierrez</t>
        </is>
      </c>
    </row>
    <row r="54">
      <c r="G54" s="121" t="n">
        <v>45</v>
      </c>
      <c r="H54" s="122" t="inlineStr">
        <is>
          <t>5B</t>
        </is>
      </c>
      <c r="I54" s="123" t="inlineStr">
        <is>
          <t>B — BOOST (oxygenation)</t>
        </is>
      </c>
      <c r="J54" s="123" t="inlineStr">
        <is>
          <t>Alyssa Jasso</t>
        </is>
      </c>
    </row>
    <row r="55">
      <c r="G55" s="121" t="n">
        <v>46</v>
      </c>
      <c r="H55" s="122" t="inlineStr">
        <is>
          <t>5B</t>
        </is>
      </c>
      <c r="I55" s="123" t="inlineStr">
        <is>
          <t>B — BOOST (oxygenation)</t>
        </is>
      </c>
      <c r="J55" s="123" t="inlineStr">
        <is>
          <t>Brisa Colunga</t>
        </is>
      </c>
    </row>
    <row r="56">
      <c r="G56" s="121" t="n">
        <v>47</v>
      </c>
      <c r="H56" s="122" t="inlineStr">
        <is>
          <t>5B</t>
        </is>
      </c>
      <c r="I56" s="123" t="inlineStr">
        <is>
          <t>B — BOOST (oxygenation)</t>
        </is>
      </c>
      <c r="J56" s="123" t="inlineStr">
        <is>
          <t>Valeria Leon</t>
        </is>
      </c>
    </row>
    <row r="57">
      <c r="G57" s="121" t="n">
        <v>48</v>
      </c>
      <c r="H57" s="122" t="inlineStr">
        <is>
          <t>5B</t>
        </is>
      </c>
      <c r="I57" s="123" t="inlineStr">
        <is>
          <t>B — BOOST (oxygenation)</t>
        </is>
      </c>
      <c r="J57" s="123" t="inlineStr">
        <is>
          <t>Haylee Senior</t>
        </is>
      </c>
    </row>
    <row r="58">
      <c r="G58" s="121" t="n">
        <v>49</v>
      </c>
      <c r="H58" s="122" t="inlineStr">
        <is>
          <t>6B</t>
        </is>
      </c>
      <c r="I58" s="123" t="inlineStr">
        <is>
          <t>B — BOOST (oxygenation)</t>
        </is>
      </c>
      <c r="J58" s="123" t="inlineStr">
        <is>
          <t>Maryam Ka</t>
        </is>
      </c>
    </row>
    <row r="59">
      <c r="G59" s="121" t="n">
        <v>50</v>
      </c>
      <c r="H59" s="122" t="inlineStr">
        <is>
          <t>6B</t>
        </is>
      </c>
      <c r="I59" s="123" t="inlineStr">
        <is>
          <t>B — BOOST (oxygenation)</t>
        </is>
      </c>
      <c r="J59" s="123" t="inlineStr">
        <is>
          <t>Daniela Osorio</t>
        </is>
      </c>
    </row>
    <row r="60">
      <c r="G60" s="121" t="n">
        <v>51</v>
      </c>
      <c r="H60" s="122" t="inlineStr">
        <is>
          <t>6B</t>
        </is>
      </c>
      <c r="I60" s="123" t="inlineStr">
        <is>
          <t>B — BOOST (oxygenation)</t>
        </is>
      </c>
      <c r="J60" s="123" t="inlineStr">
        <is>
          <t>Yasmine Padilla</t>
        </is>
      </c>
    </row>
    <row r="61">
      <c r="G61" s="121" t="n">
        <v>52</v>
      </c>
      <c r="H61" s="122" t="inlineStr">
        <is>
          <t>6B</t>
        </is>
      </c>
      <c r="I61" s="123" t="inlineStr">
        <is>
          <t>B — BOOST (oxygenation)</t>
        </is>
      </c>
      <c r="J61" s="123" t="inlineStr">
        <is>
          <t>Hayley Ana Tarin</t>
        </is>
      </c>
    </row>
  </sheetData>
  <autoFilter ref="G9:J61"/>
  <mergeCells count="16">
    <mergeCell ref="B13:C13"/>
    <mergeCell ref="A1:J1"/>
    <mergeCell ref="B16:C16"/>
    <mergeCell ref="B15:C15"/>
    <mergeCell ref="B11:C11"/>
    <mergeCell ref="A23:C23"/>
    <mergeCell ref="B19:C19"/>
    <mergeCell ref="B20:C20"/>
    <mergeCell ref="B10:C10"/>
    <mergeCell ref="A22:C22"/>
    <mergeCell ref="B14:C14"/>
    <mergeCell ref="B17:C17"/>
    <mergeCell ref="B9:C9"/>
    <mergeCell ref="A24:C24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2026-09-23T03:03:49Z</dcterms:created>
  <dcterms:modified xsi:type="dcterms:W3CDTF">2026-10-01T15:36:18Z</dcterms:modified>
  <cp:lastModifiedBy>Ferreira Garcia, Daniela</cp:lastModifiedBy>
</cp:coreProperties>
</file>