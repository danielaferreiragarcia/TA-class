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Student List" sheetId="2" state="visible" r:id="rId2"/>
  </sheets>
  <definedNames>
    <definedName name="_xlnm._FilterDatabase" localSheetId="1" hidden="1">'Student List'!$A$4:$D$56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808080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262626"/>
      </patternFill>
    </fill>
    <fill>
      <patternFill patternType="solid">
        <fgColor rgb="00FFF9E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164" fontId="5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0" fontId="9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1" t="inlineStr">
        <is>
          <t>Project Groups &amp; Budget</t>
        </is>
      </c>
    </row>
    <row r="2" ht="30" customHeight="1">
      <c r="A2" s="2" t="inlineStr">
        <is>
          <t>Who is in each group and how much each group can spend. Budget = $ per student × students, capped per group (blue cells). Members come from the Student List tab.</t>
        </is>
      </c>
    </row>
    <row r="3">
      <c r="A3" s="3" t="inlineStr">
        <is>
          <t>Budget per student</t>
        </is>
      </c>
      <c r="C3" s="4" t="n">
        <v>20</v>
      </c>
      <c r="E3" s="3" t="inlineStr">
        <is>
          <t>Maximum per group</t>
        </is>
      </c>
      <c r="G3" s="4" t="n">
        <v>80</v>
      </c>
    </row>
    <row r="4" ht="30" customHeight="1">
      <c r="A4" s="5" t="inlineStr">
        <is>
          <t>Group</t>
        </is>
      </c>
      <c r="B4" s="5" t="inlineStr">
        <is>
          <t>Project</t>
        </is>
      </c>
      <c r="C4" s="5" t="inlineStr">
        <is>
          <t># Students</t>
        </is>
      </c>
      <c r="D4" s="5" t="inlineStr">
        <is>
          <t>Budget ($)</t>
        </is>
      </c>
      <c r="E4" s="5" t="inlineStr">
        <is>
          <t>Member 1</t>
        </is>
      </c>
      <c r="F4" s="5" t="inlineStr">
        <is>
          <t>Member 2</t>
        </is>
      </c>
      <c r="G4" s="5" t="inlineStr">
        <is>
          <t>Member 3</t>
        </is>
      </c>
      <c r="H4" s="5" t="inlineStr">
        <is>
          <t>Member 4</t>
        </is>
      </c>
      <c r="I4" s="5" t="inlineStr">
        <is>
          <t>Member 5</t>
        </is>
      </c>
      <c r="J4" s="5" t="inlineStr">
        <is>
          <t>Member 6</t>
        </is>
      </c>
    </row>
    <row r="5">
      <c r="A5" s="6" t="inlineStr">
        <is>
          <t>1A</t>
        </is>
      </c>
      <c r="B5" s="7" t="inlineStr">
        <is>
          <t>A — DREAM (methylene blue removal)</t>
        </is>
      </c>
      <c r="C5" s="8">
        <f>SUMPRODUCT(('Student List'!$C$5:$C$56=A5)*1)</f>
        <v/>
      </c>
      <c r="D5" s="9">
        <f>MIN(C5*$C$3,$G$3)</f>
        <v/>
      </c>
      <c r="E5" s="7">
        <f>IFERROR(INDEX('Student List'!$B$5:$B$56,MATCH($A5&amp;"#1",'Student List'!$E$5:$E$56,0)),"")</f>
        <v/>
      </c>
      <c r="F5" s="7">
        <f>IFERROR(INDEX('Student List'!$B$5:$B$56,MATCH($A5&amp;"#2",'Student List'!$E$5:$E$56,0)),"")</f>
        <v/>
      </c>
      <c r="G5" s="7">
        <f>IFERROR(INDEX('Student List'!$B$5:$B$56,MATCH($A5&amp;"#3",'Student List'!$E$5:$E$56,0)),"")</f>
        <v/>
      </c>
      <c r="H5" s="7">
        <f>IFERROR(INDEX('Student List'!$B$5:$B$56,MATCH($A5&amp;"#4",'Student List'!$E$5:$E$56,0)),"")</f>
        <v/>
      </c>
      <c r="I5" s="7">
        <f>IFERROR(INDEX('Student List'!$B$5:$B$56,MATCH($A5&amp;"#5",'Student List'!$E$5:$E$56,0)),"")</f>
        <v/>
      </c>
      <c r="J5" s="7">
        <f>IFERROR(INDEX('Student List'!$B$5:$B$56,MATCH($A5&amp;"#6",'Student List'!$E$5:$E$56,0)),"")</f>
        <v/>
      </c>
    </row>
    <row r="6">
      <c r="A6" s="6" t="inlineStr">
        <is>
          <t>2A</t>
        </is>
      </c>
      <c r="B6" s="7" t="inlineStr">
        <is>
          <t>A — DREAM (methylene blue removal)</t>
        </is>
      </c>
      <c r="C6" s="8">
        <f>SUMPRODUCT(('Student List'!$C$5:$C$56=A6)*1)</f>
        <v/>
      </c>
      <c r="D6" s="9">
        <f>MIN(C6*$C$3,$G$3)</f>
        <v/>
      </c>
      <c r="E6" s="7">
        <f>IFERROR(INDEX('Student List'!$B$5:$B$56,MATCH($A6&amp;"#1",'Student List'!$E$5:$E$56,0)),"")</f>
        <v/>
      </c>
      <c r="F6" s="7">
        <f>IFERROR(INDEX('Student List'!$B$5:$B$56,MATCH($A6&amp;"#2",'Student List'!$E$5:$E$56,0)),"")</f>
        <v/>
      </c>
      <c r="G6" s="7">
        <f>IFERROR(INDEX('Student List'!$B$5:$B$56,MATCH($A6&amp;"#3",'Student List'!$E$5:$E$56,0)),"")</f>
        <v/>
      </c>
      <c r="H6" s="7">
        <f>IFERROR(INDEX('Student List'!$B$5:$B$56,MATCH($A6&amp;"#4",'Student List'!$E$5:$E$56,0)),"")</f>
        <v/>
      </c>
      <c r="I6" s="7">
        <f>IFERROR(INDEX('Student List'!$B$5:$B$56,MATCH($A6&amp;"#5",'Student List'!$E$5:$E$56,0)),"")</f>
        <v/>
      </c>
      <c r="J6" s="7">
        <f>IFERROR(INDEX('Student List'!$B$5:$B$56,MATCH($A6&amp;"#6",'Student List'!$E$5:$E$56,0)),"")</f>
        <v/>
      </c>
    </row>
    <row r="7">
      <c r="A7" s="6" t="inlineStr">
        <is>
          <t>3A</t>
        </is>
      </c>
      <c r="B7" s="7" t="inlineStr">
        <is>
          <t>A — DREAM (methylene blue removal)</t>
        </is>
      </c>
      <c r="C7" s="8">
        <f>SUMPRODUCT(('Student List'!$C$5:$C$56=A7)*1)</f>
        <v/>
      </c>
      <c r="D7" s="9">
        <f>MIN(C7*$C$3,$G$3)</f>
        <v/>
      </c>
      <c r="E7" s="7">
        <f>IFERROR(INDEX('Student List'!$B$5:$B$56,MATCH($A7&amp;"#1",'Student List'!$E$5:$E$56,0)),"")</f>
        <v/>
      </c>
      <c r="F7" s="7">
        <f>IFERROR(INDEX('Student List'!$B$5:$B$56,MATCH($A7&amp;"#2",'Student List'!$E$5:$E$56,0)),"")</f>
        <v/>
      </c>
      <c r="G7" s="7">
        <f>IFERROR(INDEX('Student List'!$B$5:$B$56,MATCH($A7&amp;"#3",'Student List'!$E$5:$E$56,0)),"")</f>
        <v/>
      </c>
      <c r="H7" s="7">
        <f>IFERROR(INDEX('Student List'!$B$5:$B$56,MATCH($A7&amp;"#4",'Student List'!$E$5:$E$56,0)),"")</f>
        <v/>
      </c>
      <c r="I7" s="7">
        <f>IFERROR(INDEX('Student List'!$B$5:$B$56,MATCH($A7&amp;"#5",'Student List'!$E$5:$E$56,0)),"")</f>
        <v/>
      </c>
      <c r="J7" s="7">
        <f>IFERROR(INDEX('Student List'!$B$5:$B$56,MATCH($A7&amp;"#6",'Student List'!$E$5:$E$56,0)),"")</f>
        <v/>
      </c>
    </row>
    <row r="8">
      <c r="A8" s="6" t="inlineStr">
        <is>
          <t>4A</t>
        </is>
      </c>
      <c r="B8" s="7" t="inlineStr">
        <is>
          <t>A — DREAM (methylene blue removal)</t>
        </is>
      </c>
      <c r="C8" s="8">
        <f>SUMPRODUCT(('Student List'!$C$5:$C$56=A8)*1)</f>
        <v/>
      </c>
      <c r="D8" s="9">
        <f>MIN(C8*$C$3,$G$3)</f>
        <v/>
      </c>
      <c r="E8" s="7">
        <f>IFERROR(INDEX('Student List'!$B$5:$B$56,MATCH($A8&amp;"#1",'Student List'!$E$5:$E$56,0)),"")</f>
        <v/>
      </c>
      <c r="F8" s="7">
        <f>IFERROR(INDEX('Student List'!$B$5:$B$56,MATCH($A8&amp;"#2",'Student List'!$E$5:$E$56,0)),"")</f>
        <v/>
      </c>
      <c r="G8" s="7">
        <f>IFERROR(INDEX('Student List'!$B$5:$B$56,MATCH($A8&amp;"#3",'Student List'!$E$5:$E$56,0)),"")</f>
        <v/>
      </c>
      <c r="H8" s="7">
        <f>IFERROR(INDEX('Student List'!$B$5:$B$56,MATCH($A8&amp;"#4",'Student List'!$E$5:$E$56,0)),"")</f>
        <v/>
      </c>
      <c r="I8" s="7">
        <f>IFERROR(INDEX('Student List'!$B$5:$B$56,MATCH($A8&amp;"#5",'Student List'!$E$5:$E$56,0)),"")</f>
        <v/>
      </c>
      <c r="J8" s="7">
        <f>IFERROR(INDEX('Student List'!$B$5:$B$56,MATCH($A8&amp;"#6",'Student List'!$E$5:$E$56,0)),"")</f>
        <v/>
      </c>
    </row>
    <row r="9">
      <c r="A9" s="6" t="inlineStr">
        <is>
          <t>5A</t>
        </is>
      </c>
      <c r="B9" s="7" t="inlineStr">
        <is>
          <t>A — DREAM (methylene blue removal)</t>
        </is>
      </c>
      <c r="C9" s="8">
        <f>SUMPRODUCT(('Student List'!$C$5:$C$56=A9)*1)</f>
        <v/>
      </c>
      <c r="D9" s="9">
        <f>MIN(C9*$C$3,$G$3)</f>
        <v/>
      </c>
      <c r="E9" s="7">
        <f>IFERROR(INDEX('Student List'!$B$5:$B$56,MATCH($A9&amp;"#1",'Student List'!$E$5:$E$56,0)),"")</f>
        <v/>
      </c>
      <c r="F9" s="7">
        <f>IFERROR(INDEX('Student List'!$B$5:$B$56,MATCH($A9&amp;"#2",'Student List'!$E$5:$E$56,0)),"")</f>
        <v/>
      </c>
      <c r="G9" s="7">
        <f>IFERROR(INDEX('Student List'!$B$5:$B$56,MATCH($A9&amp;"#3",'Student List'!$E$5:$E$56,0)),"")</f>
        <v/>
      </c>
      <c r="H9" s="7">
        <f>IFERROR(INDEX('Student List'!$B$5:$B$56,MATCH($A9&amp;"#4",'Student List'!$E$5:$E$56,0)),"")</f>
        <v/>
      </c>
      <c r="I9" s="7">
        <f>IFERROR(INDEX('Student List'!$B$5:$B$56,MATCH($A9&amp;"#5",'Student List'!$E$5:$E$56,0)),"")</f>
        <v/>
      </c>
      <c r="J9" s="7">
        <f>IFERROR(INDEX('Student List'!$B$5:$B$56,MATCH($A9&amp;"#6",'Student List'!$E$5:$E$56,0)),"")</f>
        <v/>
      </c>
    </row>
    <row r="10">
      <c r="A10" s="6" t="inlineStr">
        <is>
          <t>1B</t>
        </is>
      </c>
      <c r="B10" s="7" t="inlineStr">
        <is>
          <t>B — BOOST (oxygenation)</t>
        </is>
      </c>
      <c r="C10" s="8">
        <f>SUMPRODUCT(('Student List'!$C$5:$C$56=A10)*1)</f>
        <v/>
      </c>
      <c r="D10" s="9">
        <f>MIN(C10*$C$3,$G$3)</f>
        <v/>
      </c>
      <c r="E10" s="7">
        <f>IFERROR(INDEX('Student List'!$B$5:$B$56,MATCH($A10&amp;"#1",'Student List'!$E$5:$E$56,0)),"")</f>
        <v/>
      </c>
      <c r="F10" s="7">
        <f>IFERROR(INDEX('Student List'!$B$5:$B$56,MATCH($A10&amp;"#2",'Student List'!$E$5:$E$56,0)),"")</f>
        <v/>
      </c>
      <c r="G10" s="7">
        <f>IFERROR(INDEX('Student List'!$B$5:$B$56,MATCH($A10&amp;"#3",'Student List'!$E$5:$E$56,0)),"")</f>
        <v/>
      </c>
      <c r="H10" s="7">
        <f>IFERROR(INDEX('Student List'!$B$5:$B$56,MATCH($A10&amp;"#4",'Student List'!$E$5:$E$56,0)),"")</f>
        <v/>
      </c>
      <c r="I10" s="7">
        <f>IFERROR(INDEX('Student List'!$B$5:$B$56,MATCH($A10&amp;"#5",'Student List'!$E$5:$E$56,0)),"")</f>
        <v/>
      </c>
      <c r="J10" s="7">
        <f>IFERROR(INDEX('Student List'!$B$5:$B$56,MATCH($A10&amp;"#6",'Student List'!$E$5:$E$56,0)),"")</f>
        <v/>
      </c>
    </row>
    <row r="11">
      <c r="A11" s="6" t="inlineStr">
        <is>
          <t>2B</t>
        </is>
      </c>
      <c r="B11" s="7" t="inlineStr">
        <is>
          <t>B — BOOST (oxygenation)</t>
        </is>
      </c>
      <c r="C11" s="8">
        <f>SUMPRODUCT(('Student List'!$C$5:$C$56=A11)*1)</f>
        <v/>
      </c>
      <c r="D11" s="9">
        <f>MIN(C11*$C$3,$G$3)</f>
        <v/>
      </c>
      <c r="E11" s="7">
        <f>IFERROR(INDEX('Student List'!$B$5:$B$56,MATCH($A11&amp;"#1",'Student List'!$E$5:$E$56,0)),"")</f>
        <v/>
      </c>
      <c r="F11" s="7">
        <f>IFERROR(INDEX('Student List'!$B$5:$B$56,MATCH($A11&amp;"#2",'Student List'!$E$5:$E$56,0)),"")</f>
        <v/>
      </c>
      <c r="G11" s="7">
        <f>IFERROR(INDEX('Student List'!$B$5:$B$56,MATCH($A11&amp;"#3",'Student List'!$E$5:$E$56,0)),"")</f>
        <v/>
      </c>
      <c r="H11" s="7">
        <f>IFERROR(INDEX('Student List'!$B$5:$B$56,MATCH($A11&amp;"#4",'Student List'!$E$5:$E$56,0)),"")</f>
        <v/>
      </c>
      <c r="I11" s="7">
        <f>IFERROR(INDEX('Student List'!$B$5:$B$56,MATCH($A11&amp;"#5",'Student List'!$E$5:$E$56,0)),"")</f>
        <v/>
      </c>
      <c r="J11" s="7">
        <f>IFERROR(INDEX('Student List'!$B$5:$B$56,MATCH($A11&amp;"#6",'Student List'!$E$5:$E$56,0)),"")</f>
        <v/>
      </c>
    </row>
    <row r="12">
      <c r="A12" s="6" t="inlineStr">
        <is>
          <t>3B</t>
        </is>
      </c>
      <c r="B12" s="7" t="inlineStr">
        <is>
          <t>B — BOOST (oxygenation)</t>
        </is>
      </c>
      <c r="C12" s="8">
        <f>SUMPRODUCT(('Student List'!$C$5:$C$56=A12)*1)</f>
        <v/>
      </c>
      <c r="D12" s="9">
        <f>MIN(C12*$C$3,$G$3)</f>
        <v/>
      </c>
      <c r="E12" s="7">
        <f>IFERROR(INDEX('Student List'!$B$5:$B$56,MATCH($A12&amp;"#1",'Student List'!$E$5:$E$56,0)),"")</f>
        <v/>
      </c>
      <c r="F12" s="7">
        <f>IFERROR(INDEX('Student List'!$B$5:$B$56,MATCH($A12&amp;"#2",'Student List'!$E$5:$E$56,0)),"")</f>
        <v/>
      </c>
      <c r="G12" s="7">
        <f>IFERROR(INDEX('Student List'!$B$5:$B$56,MATCH($A12&amp;"#3",'Student List'!$E$5:$E$56,0)),"")</f>
        <v/>
      </c>
      <c r="H12" s="7">
        <f>IFERROR(INDEX('Student List'!$B$5:$B$56,MATCH($A12&amp;"#4",'Student List'!$E$5:$E$56,0)),"")</f>
        <v/>
      </c>
      <c r="I12" s="7">
        <f>IFERROR(INDEX('Student List'!$B$5:$B$56,MATCH($A12&amp;"#5",'Student List'!$E$5:$E$56,0)),"")</f>
        <v/>
      </c>
      <c r="J12" s="7">
        <f>IFERROR(INDEX('Student List'!$B$5:$B$56,MATCH($A12&amp;"#6",'Student List'!$E$5:$E$56,0)),"")</f>
        <v/>
      </c>
    </row>
    <row r="13">
      <c r="A13" s="6" t="inlineStr">
        <is>
          <t>4B</t>
        </is>
      </c>
      <c r="B13" s="7" t="inlineStr">
        <is>
          <t>B — BOOST (oxygenation)</t>
        </is>
      </c>
      <c r="C13" s="8">
        <f>SUMPRODUCT(('Student List'!$C$5:$C$56=A13)*1)</f>
        <v/>
      </c>
      <c r="D13" s="9">
        <f>MIN(C13*$C$3,$G$3)</f>
        <v/>
      </c>
      <c r="E13" s="7">
        <f>IFERROR(INDEX('Student List'!$B$5:$B$56,MATCH($A13&amp;"#1",'Student List'!$E$5:$E$56,0)),"")</f>
        <v/>
      </c>
      <c r="F13" s="7">
        <f>IFERROR(INDEX('Student List'!$B$5:$B$56,MATCH($A13&amp;"#2",'Student List'!$E$5:$E$56,0)),"")</f>
        <v/>
      </c>
      <c r="G13" s="7">
        <f>IFERROR(INDEX('Student List'!$B$5:$B$56,MATCH($A13&amp;"#3",'Student List'!$E$5:$E$56,0)),"")</f>
        <v/>
      </c>
      <c r="H13" s="7">
        <f>IFERROR(INDEX('Student List'!$B$5:$B$56,MATCH($A13&amp;"#4",'Student List'!$E$5:$E$56,0)),"")</f>
        <v/>
      </c>
      <c r="I13" s="7">
        <f>IFERROR(INDEX('Student List'!$B$5:$B$56,MATCH($A13&amp;"#5",'Student List'!$E$5:$E$56,0)),"")</f>
        <v/>
      </c>
      <c r="J13" s="7">
        <f>IFERROR(INDEX('Student List'!$B$5:$B$56,MATCH($A13&amp;"#6",'Student List'!$E$5:$E$56,0)),"")</f>
        <v/>
      </c>
    </row>
    <row r="14">
      <c r="A14" s="6" t="inlineStr">
        <is>
          <t>5B</t>
        </is>
      </c>
      <c r="B14" s="7" t="inlineStr">
        <is>
          <t>B — BOOST (oxygenation)</t>
        </is>
      </c>
      <c r="C14" s="8">
        <f>SUMPRODUCT(('Student List'!$C$5:$C$56=A14)*1)</f>
        <v/>
      </c>
      <c r="D14" s="9">
        <f>MIN(C14*$C$3,$G$3)</f>
        <v/>
      </c>
      <c r="E14" s="7">
        <f>IFERROR(INDEX('Student List'!$B$5:$B$56,MATCH($A14&amp;"#1",'Student List'!$E$5:$E$56,0)),"")</f>
        <v/>
      </c>
      <c r="F14" s="7">
        <f>IFERROR(INDEX('Student List'!$B$5:$B$56,MATCH($A14&amp;"#2",'Student List'!$E$5:$E$56,0)),"")</f>
        <v/>
      </c>
      <c r="G14" s="7">
        <f>IFERROR(INDEX('Student List'!$B$5:$B$56,MATCH($A14&amp;"#3",'Student List'!$E$5:$E$56,0)),"")</f>
        <v/>
      </c>
      <c r="H14" s="7">
        <f>IFERROR(INDEX('Student List'!$B$5:$B$56,MATCH($A14&amp;"#4",'Student List'!$E$5:$E$56,0)),"")</f>
        <v/>
      </c>
      <c r="I14" s="7">
        <f>IFERROR(INDEX('Student List'!$B$5:$B$56,MATCH($A14&amp;"#5",'Student List'!$E$5:$E$56,0)),"")</f>
        <v/>
      </c>
      <c r="J14" s="7">
        <f>IFERROR(INDEX('Student List'!$B$5:$B$56,MATCH($A14&amp;"#6",'Student List'!$E$5:$E$56,0)),"")</f>
        <v/>
      </c>
    </row>
    <row r="15">
      <c r="A15" s="6" t="inlineStr">
        <is>
          <t>6B</t>
        </is>
      </c>
      <c r="B15" s="7" t="inlineStr">
        <is>
          <t>B — BOOST (oxygenation)</t>
        </is>
      </c>
      <c r="C15" s="8">
        <f>SUMPRODUCT(('Student List'!$C$5:$C$56=A15)*1)</f>
        <v/>
      </c>
      <c r="D15" s="9">
        <f>MIN(C15*$C$3,$G$3)</f>
        <v/>
      </c>
      <c r="E15" s="7">
        <f>IFERROR(INDEX('Student List'!$B$5:$B$56,MATCH($A15&amp;"#1",'Student List'!$E$5:$E$56,0)),"")</f>
        <v/>
      </c>
      <c r="F15" s="7">
        <f>IFERROR(INDEX('Student List'!$B$5:$B$56,MATCH($A15&amp;"#2",'Student List'!$E$5:$E$56,0)),"")</f>
        <v/>
      </c>
      <c r="G15" s="7">
        <f>IFERROR(INDEX('Student List'!$B$5:$B$56,MATCH($A15&amp;"#3",'Student List'!$E$5:$E$56,0)),"")</f>
        <v/>
      </c>
      <c r="H15" s="7">
        <f>IFERROR(INDEX('Student List'!$B$5:$B$56,MATCH($A15&amp;"#4",'Student List'!$E$5:$E$56,0)),"")</f>
        <v/>
      </c>
      <c r="I15" s="7">
        <f>IFERROR(INDEX('Student List'!$B$5:$B$56,MATCH($A15&amp;"#5",'Student List'!$E$5:$E$56,0)),"")</f>
        <v/>
      </c>
      <c r="J15" s="7">
        <f>IFERROR(INDEX('Student List'!$B$5:$B$56,MATCH($A15&amp;"#6",'Student List'!$E$5:$E$56,0)),"")</f>
        <v/>
      </c>
    </row>
    <row r="17">
      <c r="A17" s="10" t="inlineStr">
        <is>
          <t>Project A — DREAM</t>
        </is>
      </c>
      <c r="C17" s="11">
        <f>SUMIF($B$5:$B$15,"A — *",$C$5:$C$15)</f>
        <v/>
      </c>
      <c r="D17" s="12">
        <f>SUMIF($B$5:$B$15,"A — *",$D$5:$D$15)</f>
        <v/>
      </c>
    </row>
    <row r="18">
      <c r="A18" s="10" t="inlineStr">
        <is>
          <t>Project B — BOOST</t>
        </is>
      </c>
      <c r="C18" s="11">
        <f>SUMIF($B$5:$B$15,"B — *",$C$5:$C$15)</f>
        <v/>
      </c>
      <c r="D18" s="12">
        <f>SUMIF($B$5:$B$15,"B — *",$D$5:$D$15)</f>
        <v/>
      </c>
    </row>
    <row r="19">
      <c r="A19" s="10" t="inlineStr">
        <is>
          <t>All groups</t>
        </is>
      </c>
      <c r="C19" s="11">
        <f>SUM($C$5:$C$15)</f>
        <v/>
      </c>
      <c r="D19" s="12">
        <f>SUM($D$5:$D$15)</f>
        <v/>
      </c>
    </row>
    <row r="21">
      <c r="A21" s="13" t="inlineStr">
        <is>
          <t>Every group has 4–5 students, so every group reaches the $80 cap.</t>
        </is>
      </c>
    </row>
  </sheetData>
  <mergeCells count="5">
    <mergeCell ref="A1:J1"/>
    <mergeCell ref="A19:B19"/>
    <mergeCell ref="A2:J2"/>
    <mergeCell ref="A17:B17"/>
    <mergeCell ref="A18:B1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34" customWidth="1" min="4" max="4"/>
    <col width="16" customWidth="1" min="5" max="5"/>
  </cols>
  <sheetData>
    <row r="1" ht="28" customHeight="1">
      <c r="A1" s="1" t="inlineStr">
        <is>
          <t>Student List — project group assignments</t>
        </is>
      </c>
    </row>
    <row r="2" ht="30" customHeight="1">
      <c r="A2" s="2" t="inlineStr">
        <is>
          <t>Source: Team_Assignments_Final – Engineering Design 1. To move a student, change their Group (blue). The Groups tab updates automatically.</t>
        </is>
      </c>
    </row>
    <row r="4">
      <c r="A4" s="5" t="inlineStr">
        <is>
          <t>#</t>
        </is>
      </c>
      <c r="B4" s="5" t="inlineStr">
        <is>
          <t>Student</t>
        </is>
      </c>
      <c r="C4" s="5" t="inlineStr">
        <is>
          <t>Group</t>
        </is>
      </c>
      <c r="D4" s="5" t="inlineStr">
        <is>
          <t>Project</t>
        </is>
      </c>
      <c r="E4" s="5" t="inlineStr">
        <is>
          <t>Group key (helper)</t>
        </is>
      </c>
    </row>
    <row r="5">
      <c r="A5" s="14" t="n">
        <v>1</v>
      </c>
      <c r="B5" s="15" t="inlineStr">
        <is>
          <t>Sonu acharya</t>
        </is>
      </c>
      <c r="C5" s="16" t="inlineStr">
        <is>
          <t>1A</t>
        </is>
      </c>
      <c r="D5" s="15">
        <f>IFERROR(INDEX(Groups!$B$5:$B$15,MATCH(C5,Groups!$A$5:$A$15,0)),"Group not in list")</f>
        <v/>
      </c>
      <c r="E5" s="17">
        <f>IF(C5="","",C5&amp;"#"&amp;SUMPRODUCT(($C$5:C5=C5)*1))</f>
        <v/>
      </c>
    </row>
    <row r="6">
      <c r="A6" s="14" t="n">
        <v>2</v>
      </c>
      <c r="B6" s="15" t="inlineStr">
        <is>
          <t>Elizabeth Dillah</t>
        </is>
      </c>
      <c r="C6" s="16" t="inlineStr">
        <is>
          <t>1A</t>
        </is>
      </c>
      <c r="D6" s="15">
        <f>IFERROR(INDEX(Groups!$B$5:$B$15,MATCH(C6,Groups!$A$5:$A$15,0)),"Group not in list")</f>
        <v/>
      </c>
      <c r="E6" s="17">
        <f>IF(C6="","",C6&amp;"#"&amp;SUMPRODUCT(($C$5:C6=C6)*1))</f>
        <v/>
      </c>
    </row>
    <row r="7">
      <c r="A7" s="14" t="n">
        <v>3</v>
      </c>
      <c r="B7" s="15" t="inlineStr">
        <is>
          <t>Macie Perrio</t>
        </is>
      </c>
      <c r="C7" s="16" t="inlineStr">
        <is>
          <t>1A</t>
        </is>
      </c>
      <c r="D7" s="15">
        <f>IFERROR(INDEX(Groups!$B$5:$B$15,MATCH(C7,Groups!$A$5:$A$15,0)),"Group not in list")</f>
        <v/>
      </c>
      <c r="E7" s="17">
        <f>IF(C7="","",C7&amp;"#"&amp;SUMPRODUCT(($C$5:C7=C7)*1))</f>
        <v/>
      </c>
    </row>
    <row r="8">
      <c r="A8" s="14" t="n">
        <v>4</v>
      </c>
      <c r="B8" s="15" t="inlineStr">
        <is>
          <t>Hayden Albert</t>
        </is>
      </c>
      <c r="C8" s="16" t="inlineStr">
        <is>
          <t>1A</t>
        </is>
      </c>
      <c r="D8" s="15">
        <f>IFERROR(INDEX(Groups!$B$5:$B$15,MATCH(C8,Groups!$A$5:$A$15,0)),"Group not in list")</f>
        <v/>
      </c>
      <c r="E8" s="17">
        <f>IF(C8="","",C8&amp;"#"&amp;SUMPRODUCT(($C$5:C8=C8)*1))</f>
        <v/>
      </c>
    </row>
    <row r="9">
      <c r="A9" s="14" t="n">
        <v>5</v>
      </c>
      <c r="B9" s="15" t="inlineStr">
        <is>
          <t>Hunter Gates</t>
        </is>
      </c>
      <c r="C9" s="16" t="inlineStr">
        <is>
          <t>1A</t>
        </is>
      </c>
      <c r="D9" s="15">
        <f>IFERROR(INDEX(Groups!$B$5:$B$15,MATCH(C9,Groups!$A$5:$A$15,0)),"Group not in list")</f>
        <v/>
      </c>
      <c r="E9" s="17">
        <f>IF(C9="","",C9&amp;"#"&amp;SUMPRODUCT(($C$5:C9=C9)*1))</f>
        <v/>
      </c>
    </row>
    <row r="10">
      <c r="A10" s="14" t="n">
        <v>6</v>
      </c>
      <c r="B10" s="15" t="inlineStr">
        <is>
          <t>Rachel Holmes</t>
        </is>
      </c>
      <c r="C10" s="16" t="inlineStr">
        <is>
          <t>2A</t>
        </is>
      </c>
      <c r="D10" s="15">
        <f>IFERROR(INDEX(Groups!$B$5:$B$15,MATCH(C10,Groups!$A$5:$A$15,0)),"Group not in list")</f>
        <v/>
      </c>
      <c r="E10" s="17">
        <f>IF(C10="","",C10&amp;"#"&amp;SUMPRODUCT(($C$5:C10=C10)*1))</f>
        <v/>
      </c>
    </row>
    <row r="11">
      <c r="A11" s="14" t="n">
        <v>7</v>
      </c>
      <c r="B11" s="15" t="inlineStr">
        <is>
          <t>Shaman Wildman</t>
        </is>
      </c>
      <c r="C11" s="16" t="inlineStr">
        <is>
          <t>2A</t>
        </is>
      </c>
      <c r="D11" s="15">
        <f>IFERROR(INDEX(Groups!$B$5:$B$15,MATCH(C11,Groups!$A$5:$A$15,0)),"Group not in list")</f>
        <v/>
      </c>
      <c r="E11" s="17">
        <f>IF(C11="","",C11&amp;"#"&amp;SUMPRODUCT(($C$5:C11=C11)*1))</f>
        <v/>
      </c>
    </row>
    <row r="12">
      <c r="A12" s="14" t="n">
        <v>8</v>
      </c>
      <c r="B12" s="15" t="inlineStr">
        <is>
          <t>Trevin Cutrer</t>
        </is>
      </c>
      <c r="C12" s="16" t="inlineStr">
        <is>
          <t>2A</t>
        </is>
      </c>
      <c r="D12" s="15">
        <f>IFERROR(INDEX(Groups!$B$5:$B$15,MATCH(C12,Groups!$A$5:$A$15,0)),"Group not in list")</f>
        <v/>
      </c>
      <c r="E12" s="17">
        <f>IF(C12="","",C12&amp;"#"&amp;SUMPRODUCT(($C$5:C12=C12)*1))</f>
        <v/>
      </c>
    </row>
    <row r="13">
      <c r="A13" s="14" t="n">
        <v>9</v>
      </c>
      <c r="B13" s="15" t="inlineStr">
        <is>
          <t>Noah Rodriguez</t>
        </is>
      </c>
      <c r="C13" s="16" t="inlineStr">
        <is>
          <t>2A</t>
        </is>
      </c>
      <c r="D13" s="15">
        <f>IFERROR(INDEX(Groups!$B$5:$B$15,MATCH(C13,Groups!$A$5:$A$15,0)),"Group not in list")</f>
        <v/>
      </c>
      <c r="E13" s="17">
        <f>IF(C13="","",C13&amp;"#"&amp;SUMPRODUCT(($C$5:C13=C13)*1))</f>
        <v/>
      </c>
    </row>
    <row r="14">
      <c r="A14" s="14" t="n">
        <v>10</v>
      </c>
      <c r="B14" s="15" t="inlineStr">
        <is>
          <t>Mia Cuellar</t>
        </is>
      </c>
      <c r="C14" s="16" t="inlineStr">
        <is>
          <t>3A</t>
        </is>
      </c>
      <c r="D14" s="15">
        <f>IFERROR(INDEX(Groups!$B$5:$B$15,MATCH(C14,Groups!$A$5:$A$15,0)),"Group not in list")</f>
        <v/>
      </c>
      <c r="E14" s="17">
        <f>IF(C14="","",C14&amp;"#"&amp;SUMPRODUCT(($C$5:C14=C14)*1))</f>
        <v/>
      </c>
    </row>
    <row r="15">
      <c r="A15" s="14" t="n">
        <v>11</v>
      </c>
      <c r="B15" s="15" t="inlineStr">
        <is>
          <t>Kara Larsen</t>
        </is>
      </c>
      <c r="C15" s="16" t="inlineStr">
        <is>
          <t>3A</t>
        </is>
      </c>
      <c r="D15" s="15">
        <f>IFERROR(INDEX(Groups!$B$5:$B$15,MATCH(C15,Groups!$A$5:$A$15,0)),"Group not in list")</f>
        <v/>
      </c>
      <c r="E15" s="17">
        <f>IF(C15="","",C15&amp;"#"&amp;SUMPRODUCT(($C$5:C15=C15)*1))</f>
        <v/>
      </c>
    </row>
    <row r="16">
      <c r="A16" s="14" t="n">
        <v>12</v>
      </c>
      <c r="B16" s="15" t="inlineStr">
        <is>
          <t>Landon Atkins</t>
        </is>
      </c>
      <c r="C16" s="16" t="inlineStr">
        <is>
          <t>3A</t>
        </is>
      </c>
      <c r="D16" s="15">
        <f>IFERROR(INDEX(Groups!$B$5:$B$15,MATCH(C16,Groups!$A$5:$A$15,0)),"Group not in list")</f>
        <v/>
      </c>
      <c r="E16" s="17">
        <f>IF(C16="","",C16&amp;"#"&amp;SUMPRODUCT(($C$5:C16=C16)*1))</f>
        <v/>
      </c>
    </row>
    <row r="17">
      <c r="A17" s="14" t="n">
        <v>13</v>
      </c>
      <c r="B17" s="15" t="inlineStr">
        <is>
          <t>Connor Felux</t>
        </is>
      </c>
      <c r="C17" s="16" t="inlineStr">
        <is>
          <t>3A</t>
        </is>
      </c>
      <c r="D17" s="15">
        <f>IFERROR(INDEX(Groups!$B$5:$B$15,MATCH(C17,Groups!$A$5:$A$15,0)),"Group not in list")</f>
        <v/>
      </c>
      <c r="E17" s="17">
        <f>IF(C17="","",C17&amp;"#"&amp;SUMPRODUCT(($C$5:C17=C17)*1))</f>
        <v/>
      </c>
    </row>
    <row r="18">
      <c r="A18" s="14" t="n">
        <v>14</v>
      </c>
      <c r="B18" s="15" t="inlineStr">
        <is>
          <t>Axel Cruz-Hernandez</t>
        </is>
      </c>
      <c r="C18" s="16" t="inlineStr">
        <is>
          <t>3A</t>
        </is>
      </c>
      <c r="D18" s="15">
        <f>IFERROR(INDEX(Groups!$B$5:$B$15,MATCH(C18,Groups!$A$5:$A$15,0)),"Group not in list")</f>
        <v/>
      </c>
      <c r="E18" s="17">
        <f>IF(C18="","",C18&amp;"#"&amp;SUMPRODUCT(($C$5:C18=C18)*1))</f>
        <v/>
      </c>
    </row>
    <row r="19">
      <c r="A19" s="14" t="n">
        <v>15</v>
      </c>
      <c r="B19" s="15" t="inlineStr">
        <is>
          <t>Brinda Gayen</t>
        </is>
      </c>
      <c r="C19" s="16" t="inlineStr">
        <is>
          <t>4A</t>
        </is>
      </c>
      <c r="D19" s="15">
        <f>IFERROR(INDEX(Groups!$B$5:$B$15,MATCH(C19,Groups!$A$5:$A$15,0)),"Group not in list")</f>
        <v/>
      </c>
      <c r="E19" s="17">
        <f>IF(C19="","",C19&amp;"#"&amp;SUMPRODUCT(($C$5:C19=C19)*1))</f>
        <v/>
      </c>
    </row>
    <row r="20">
      <c r="A20" s="14" t="n">
        <v>16</v>
      </c>
      <c r="B20" s="15" t="inlineStr">
        <is>
          <t>Emmalie Potter</t>
        </is>
      </c>
      <c r="C20" s="16" t="inlineStr">
        <is>
          <t>4A</t>
        </is>
      </c>
      <c r="D20" s="15">
        <f>IFERROR(INDEX(Groups!$B$5:$B$15,MATCH(C20,Groups!$A$5:$A$15,0)),"Group not in list")</f>
        <v/>
      </c>
      <c r="E20" s="17">
        <f>IF(C20="","",C20&amp;"#"&amp;SUMPRODUCT(($C$5:C20=C20)*1))</f>
        <v/>
      </c>
    </row>
    <row r="21">
      <c r="A21" s="14" t="n">
        <v>17</v>
      </c>
      <c r="B21" s="15" t="inlineStr">
        <is>
          <t>Jeremy Brown</t>
        </is>
      </c>
      <c r="C21" s="16" t="inlineStr">
        <is>
          <t>4A</t>
        </is>
      </c>
      <c r="D21" s="15">
        <f>IFERROR(INDEX(Groups!$B$5:$B$15,MATCH(C21,Groups!$A$5:$A$15,0)),"Group not in list")</f>
        <v/>
      </c>
      <c r="E21" s="17">
        <f>IF(C21="","",C21&amp;"#"&amp;SUMPRODUCT(($C$5:C21=C21)*1))</f>
        <v/>
      </c>
    </row>
    <row r="22">
      <c r="A22" s="14" t="n">
        <v>18</v>
      </c>
      <c r="B22" s="15" t="inlineStr">
        <is>
          <t>JD Andrade</t>
        </is>
      </c>
      <c r="C22" s="16" t="inlineStr">
        <is>
          <t>4A</t>
        </is>
      </c>
      <c r="D22" s="15">
        <f>IFERROR(INDEX(Groups!$B$5:$B$15,MATCH(C22,Groups!$A$5:$A$15,0)),"Group not in list")</f>
        <v/>
      </c>
      <c r="E22" s="17">
        <f>IF(C22="","",C22&amp;"#"&amp;SUMPRODUCT(($C$5:C22=C22)*1))</f>
        <v/>
      </c>
    </row>
    <row r="23">
      <c r="A23" s="14" t="n">
        <v>19</v>
      </c>
      <c r="B23" s="15" t="inlineStr">
        <is>
          <t>Devin Cuellar</t>
        </is>
      </c>
      <c r="C23" s="16" t="inlineStr">
        <is>
          <t>4A</t>
        </is>
      </c>
      <c r="D23" s="15">
        <f>IFERROR(INDEX(Groups!$B$5:$B$15,MATCH(C23,Groups!$A$5:$A$15,0)),"Group not in list")</f>
        <v/>
      </c>
      <c r="E23" s="17">
        <f>IF(C23="","",C23&amp;"#"&amp;SUMPRODUCT(($C$5:C23=C23)*1))</f>
        <v/>
      </c>
    </row>
    <row r="24">
      <c r="A24" s="14" t="n">
        <v>20</v>
      </c>
      <c r="B24" s="15" t="inlineStr">
        <is>
          <t>Aaron Linhart</t>
        </is>
      </c>
      <c r="C24" s="16" t="inlineStr">
        <is>
          <t>5A</t>
        </is>
      </c>
      <c r="D24" s="15">
        <f>IFERROR(INDEX(Groups!$B$5:$B$15,MATCH(C24,Groups!$A$5:$A$15,0)),"Group not in list")</f>
        <v/>
      </c>
      <c r="E24" s="17">
        <f>IF(C24="","",C24&amp;"#"&amp;SUMPRODUCT(($C$5:C24=C24)*1))</f>
        <v/>
      </c>
    </row>
    <row r="25">
      <c r="A25" s="14" t="n">
        <v>21</v>
      </c>
      <c r="B25" s="15" t="inlineStr">
        <is>
          <t>Diego Leal</t>
        </is>
      </c>
      <c r="C25" s="16" t="inlineStr">
        <is>
          <t>5A</t>
        </is>
      </c>
      <c r="D25" s="15">
        <f>IFERROR(INDEX(Groups!$B$5:$B$15,MATCH(C25,Groups!$A$5:$A$15,0)),"Group not in list")</f>
        <v/>
      </c>
      <c r="E25" s="17">
        <f>IF(C25="","",C25&amp;"#"&amp;SUMPRODUCT(($C$5:C25=C25)*1))</f>
        <v/>
      </c>
    </row>
    <row r="26">
      <c r="A26" s="14" t="n">
        <v>22</v>
      </c>
      <c r="B26" s="15" t="inlineStr">
        <is>
          <t>Angel Camarillo</t>
        </is>
      </c>
      <c r="C26" s="16" t="inlineStr">
        <is>
          <t>5A</t>
        </is>
      </c>
      <c r="D26" s="15">
        <f>IFERROR(INDEX(Groups!$B$5:$B$15,MATCH(C26,Groups!$A$5:$A$15,0)),"Group not in list")</f>
        <v/>
      </c>
      <c r="E26" s="17">
        <f>IF(C26="","",C26&amp;"#"&amp;SUMPRODUCT(($C$5:C26=C26)*1))</f>
        <v/>
      </c>
    </row>
    <row r="27">
      <c r="A27" s="14" t="n">
        <v>23</v>
      </c>
      <c r="B27" s="15" t="inlineStr">
        <is>
          <t>Mihal Jacob</t>
        </is>
      </c>
      <c r="C27" s="16" t="inlineStr">
        <is>
          <t>5A</t>
        </is>
      </c>
      <c r="D27" s="15">
        <f>IFERROR(INDEX(Groups!$B$5:$B$15,MATCH(C27,Groups!$A$5:$A$15,0)),"Group not in list")</f>
        <v/>
      </c>
      <c r="E27" s="17">
        <f>IF(C27="","",C27&amp;"#"&amp;SUMPRODUCT(($C$5:C27=C27)*1))</f>
        <v/>
      </c>
    </row>
    <row r="28">
      <c r="A28" s="14" t="n">
        <v>24</v>
      </c>
      <c r="B28" s="15" t="inlineStr">
        <is>
          <t>David Abagwe</t>
        </is>
      </c>
      <c r="C28" s="16" t="inlineStr">
        <is>
          <t>5A</t>
        </is>
      </c>
      <c r="D28" s="15">
        <f>IFERROR(INDEX(Groups!$B$5:$B$15,MATCH(C28,Groups!$A$5:$A$15,0)),"Group not in list")</f>
        <v/>
      </c>
      <c r="E28" s="17">
        <f>IF(C28="","",C28&amp;"#"&amp;SUMPRODUCT(($C$5:C28=C28)*1))</f>
        <v/>
      </c>
    </row>
    <row r="29">
      <c r="A29" s="14" t="n">
        <v>25</v>
      </c>
      <c r="B29" s="15" t="inlineStr">
        <is>
          <t>Gavin Cappel</t>
        </is>
      </c>
      <c r="C29" s="16" t="inlineStr">
        <is>
          <t>1B</t>
        </is>
      </c>
      <c r="D29" s="15">
        <f>IFERROR(INDEX(Groups!$B$5:$B$15,MATCH(C29,Groups!$A$5:$A$15,0)),"Group not in list")</f>
        <v/>
      </c>
      <c r="E29" s="17">
        <f>IF(C29="","",C29&amp;"#"&amp;SUMPRODUCT(($C$5:C29=C29)*1))</f>
        <v/>
      </c>
    </row>
    <row r="30">
      <c r="A30" s="14" t="n">
        <v>26</v>
      </c>
      <c r="B30" s="15" t="inlineStr">
        <is>
          <t>Eric Calderon</t>
        </is>
      </c>
      <c r="C30" s="16" t="inlineStr">
        <is>
          <t>1B</t>
        </is>
      </c>
      <c r="D30" s="15">
        <f>IFERROR(INDEX(Groups!$B$5:$B$15,MATCH(C30,Groups!$A$5:$A$15,0)),"Group not in list")</f>
        <v/>
      </c>
      <c r="E30" s="17">
        <f>IF(C30="","",C30&amp;"#"&amp;SUMPRODUCT(($C$5:C30=C30)*1))</f>
        <v/>
      </c>
    </row>
    <row r="31">
      <c r="A31" s="14" t="n">
        <v>27</v>
      </c>
      <c r="B31" s="15" t="inlineStr">
        <is>
          <t>Kayra Rushing</t>
        </is>
      </c>
      <c r="C31" s="16" t="inlineStr">
        <is>
          <t>1B</t>
        </is>
      </c>
      <c r="D31" s="15">
        <f>IFERROR(INDEX(Groups!$B$5:$B$15,MATCH(C31,Groups!$A$5:$A$15,0)),"Group not in list")</f>
        <v/>
      </c>
      <c r="E31" s="17">
        <f>IF(C31="","",C31&amp;"#"&amp;SUMPRODUCT(($C$5:C31=C31)*1))</f>
        <v/>
      </c>
    </row>
    <row r="32">
      <c r="A32" s="14" t="n">
        <v>28</v>
      </c>
      <c r="B32" s="15" t="inlineStr">
        <is>
          <t>Isabella Juarez</t>
        </is>
      </c>
      <c r="C32" s="16" t="inlineStr">
        <is>
          <t>1B</t>
        </is>
      </c>
      <c r="D32" s="15">
        <f>IFERROR(INDEX(Groups!$B$5:$B$15,MATCH(C32,Groups!$A$5:$A$15,0)),"Group not in list")</f>
        <v/>
      </c>
      <c r="E32" s="17">
        <f>IF(C32="","",C32&amp;"#"&amp;SUMPRODUCT(($C$5:C32=C32)*1))</f>
        <v/>
      </c>
    </row>
    <row r="33">
      <c r="A33" s="14" t="n">
        <v>29</v>
      </c>
      <c r="B33" s="15" t="inlineStr">
        <is>
          <t>Ryan Borkland</t>
        </is>
      </c>
      <c r="C33" s="16" t="inlineStr">
        <is>
          <t>1B</t>
        </is>
      </c>
      <c r="D33" s="15">
        <f>IFERROR(INDEX(Groups!$B$5:$B$15,MATCH(C33,Groups!$A$5:$A$15,0)),"Group not in list")</f>
        <v/>
      </c>
      <c r="E33" s="17">
        <f>IF(C33="","",C33&amp;"#"&amp;SUMPRODUCT(($C$5:C33=C33)*1))</f>
        <v/>
      </c>
    </row>
    <row r="34">
      <c r="A34" s="14" t="n">
        <v>30</v>
      </c>
      <c r="B34" s="15" t="inlineStr">
        <is>
          <t>Luke Presa</t>
        </is>
      </c>
      <c r="C34" s="16" t="inlineStr">
        <is>
          <t>2B</t>
        </is>
      </c>
      <c r="D34" s="15">
        <f>IFERROR(INDEX(Groups!$B$5:$B$15,MATCH(C34,Groups!$A$5:$A$15,0)),"Group not in list")</f>
        <v/>
      </c>
      <c r="E34" s="17">
        <f>IF(C34="","",C34&amp;"#"&amp;SUMPRODUCT(($C$5:C34=C34)*1))</f>
        <v/>
      </c>
    </row>
    <row r="35">
      <c r="A35" s="14" t="n">
        <v>31</v>
      </c>
      <c r="B35" s="15" t="inlineStr">
        <is>
          <t>Benjamin Reyes</t>
        </is>
      </c>
      <c r="C35" s="16" t="inlineStr">
        <is>
          <t>2B</t>
        </is>
      </c>
      <c r="D35" s="15">
        <f>IFERROR(INDEX(Groups!$B$5:$B$15,MATCH(C35,Groups!$A$5:$A$15,0)),"Group not in list")</f>
        <v/>
      </c>
      <c r="E35" s="17">
        <f>IF(C35="","",C35&amp;"#"&amp;SUMPRODUCT(($C$5:C35=C35)*1))</f>
        <v/>
      </c>
    </row>
    <row r="36">
      <c r="A36" s="14" t="n">
        <v>32</v>
      </c>
      <c r="B36" s="15" t="inlineStr">
        <is>
          <t>Victoria Gaytan</t>
        </is>
      </c>
      <c r="C36" s="16" t="inlineStr">
        <is>
          <t>2B</t>
        </is>
      </c>
      <c r="D36" s="15">
        <f>IFERROR(INDEX(Groups!$B$5:$B$15,MATCH(C36,Groups!$A$5:$A$15,0)),"Group not in list")</f>
        <v/>
      </c>
      <c r="E36" s="17">
        <f>IF(C36="","",C36&amp;"#"&amp;SUMPRODUCT(($C$5:C36=C36)*1))</f>
        <v/>
      </c>
    </row>
    <row r="37">
      <c r="A37" s="14" t="n">
        <v>33</v>
      </c>
      <c r="B37" s="15" t="inlineStr">
        <is>
          <t>Emily Ickert</t>
        </is>
      </c>
      <c r="C37" s="16" t="inlineStr">
        <is>
          <t>2B</t>
        </is>
      </c>
      <c r="D37" s="15">
        <f>IFERROR(INDEX(Groups!$B$5:$B$15,MATCH(C37,Groups!$A$5:$A$15,0)),"Group not in list")</f>
        <v/>
      </c>
      <c r="E37" s="17">
        <f>IF(C37="","",C37&amp;"#"&amp;SUMPRODUCT(($C$5:C37=C37)*1))</f>
        <v/>
      </c>
    </row>
    <row r="38">
      <c r="A38" s="14" t="n">
        <v>34</v>
      </c>
      <c r="B38" s="15" t="inlineStr">
        <is>
          <t>Veditha Chelikani</t>
        </is>
      </c>
      <c r="C38" s="16" t="inlineStr">
        <is>
          <t>2B</t>
        </is>
      </c>
      <c r="D38" s="15">
        <f>IFERROR(INDEX(Groups!$B$5:$B$15,MATCH(C38,Groups!$A$5:$A$15,0)),"Group not in list")</f>
        <v/>
      </c>
      <c r="E38" s="17">
        <f>IF(C38="","",C38&amp;"#"&amp;SUMPRODUCT(($C$5:C38=C38)*1))</f>
        <v/>
      </c>
    </row>
    <row r="39">
      <c r="A39" s="14" t="n">
        <v>35</v>
      </c>
      <c r="B39" s="15" t="inlineStr">
        <is>
          <t>Shawn Kwende</t>
        </is>
      </c>
      <c r="C39" s="16" t="inlineStr">
        <is>
          <t>3B</t>
        </is>
      </c>
      <c r="D39" s="15">
        <f>IFERROR(INDEX(Groups!$B$5:$B$15,MATCH(C39,Groups!$A$5:$A$15,0)),"Group not in list")</f>
        <v/>
      </c>
      <c r="E39" s="17">
        <f>IF(C39="","",C39&amp;"#"&amp;SUMPRODUCT(($C$5:C39=C39)*1))</f>
        <v/>
      </c>
    </row>
    <row r="40">
      <c r="A40" s="14" t="n">
        <v>36</v>
      </c>
      <c r="B40" s="15" t="inlineStr">
        <is>
          <t>Brooke Salada</t>
        </is>
      </c>
      <c r="C40" s="16" t="inlineStr">
        <is>
          <t>3B</t>
        </is>
      </c>
      <c r="D40" s="15">
        <f>IFERROR(INDEX(Groups!$B$5:$B$15,MATCH(C40,Groups!$A$5:$A$15,0)),"Group not in list")</f>
        <v/>
      </c>
      <c r="E40" s="17">
        <f>IF(C40="","",C40&amp;"#"&amp;SUMPRODUCT(($C$5:C40=C40)*1))</f>
        <v/>
      </c>
    </row>
    <row r="41">
      <c r="A41" s="14" t="n">
        <v>37</v>
      </c>
      <c r="B41" s="15" t="inlineStr">
        <is>
          <t>Lani Allen</t>
        </is>
      </c>
      <c r="C41" s="16" t="inlineStr">
        <is>
          <t>3B</t>
        </is>
      </c>
      <c r="D41" s="15">
        <f>IFERROR(INDEX(Groups!$B$5:$B$15,MATCH(C41,Groups!$A$5:$A$15,0)),"Group not in list")</f>
        <v/>
      </c>
      <c r="E41" s="17">
        <f>IF(C41="","",C41&amp;"#"&amp;SUMPRODUCT(($C$5:C41=C41)*1))</f>
        <v/>
      </c>
    </row>
    <row r="42">
      <c r="A42" s="14" t="n">
        <v>38</v>
      </c>
      <c r="B42" s="15" t="inlineStr">
        <is>
          <t>Jack Elsas</t>
        </is>
      </c>
      <c r="C42" s="16" t="inlineStr">
        <is>
          <t>3B</t>
        </is>
      </c>
      <c r="D42" s="15">
        <f>IFERROR(INDEX(Groups!$B$5:$B$15,MATCH(C42,Groups!$A$5:$A$15,0)),"Group not in list")</f>
        <v/>
      </c>
      <c r="E42" s="17">
        <f>IF(C42="","",C42&amp;"#"&amp;SUMPRODUCT(($C$5:C42=C42)*1))</f>
        <v/>
      </c>
    </row>
    <row r="43">
      <c r="A43" s="14" t="n">
        <v>39</v>
      </c>
      <c r="B43" s="15" t="inlineStr">
        <is>
          <t>Jared O'neal</t>
        </is>
      </c>
      <c r="C43" s="16" t="inlineStr">
        <is>
          <t>3B</t>
        </is>
      </c>
      <c r="D43" s="15">
        <f>IFERROR(INDEX(Groups!$B$5:$B$15,MATCH(C43,Groups!$A$5:$A$15,0)),"Group not in list")</f>
        <v/>
      </c>
      <c r="E43" s="17">
        <f>IF(C43="","",C43&amp;"#"&amp;SUMPRODUCT(($C$5:C43=C43)*1))</f>
        <v/>
      </c>
    </row>
    <row r="44">
      <c r="A44" s="14" t="n">
        <v>40</v>
      </c>
      <c r="B44" s="15" t="inlineStr">
        <is>
          <t>Roman Romashkin</t>
        </is>
      </c>
      <c r="C44" s="16" t="inlineStr">
        <is>
          <t>4B</t>
        </is>
      </c>
      <c r="D44" s="15">
        <f>IFERROR(INDEX(Groups!$B$5:$B$15,MATCH(C44,Groups!$A$5:$A$15,0)),"Group not in list")</f>
        <v/>
      </c>
      <c r="E44" s="17">
        <f>IF(C44="","",C44&amp;"#"&amp;SUMPRODUCT(($C$5:C44=C44)*1))</f>
        <v/>
      </c>
    </row>
    <row r="45">
      <c r="A45" s="14" t="n">
        <v>41</v>
      </c>
      <c r="B45" s="15" t="inlineStr">
        <is>
          <t>Ashton Adams</t>
        </is>
      </c>
      <c r="C45" s="16" t="inlineStr">
        <is>
          <t>4B</t>
        </is>
      </c>
      <c r="D45" s="15">
        <f>IFERROR(INDEX(Groups!$B$5:$B$15,MATCH(C45,Groups!$A$5:$A$15,0)),"Group not in list")</f>
        <v/>
      </c>
      <c r="E45" s="17">
        <f>IF(C45="","",C45&amp;"#"&amp;SUMPRODUCT(($C$5:C45=C45)*1))</f>
        <v/>
      </c>
    </row>
    <row r="46">
      <c r="A46" s="14" t="n">
        <v>42</v>
      </c>
      <c r="B46" s="15" t="inlineStr">
        <is>
          <t>Jocelyn Gonzalez</t>
        </is>
      </c>
      <c r="C46" s="16" t="inlineStr">
        <is>
          <t>4B</t>
        </is>
      </c>
      <c r="D46" s="15">
        <f>IFERROR(INDEX(Groups!$B$5:$B$15,MATCH(C46,Groups!$A$5:$A$15,0)),"Group not in list")</f>
        <v/>
      </c>
      <c r="E46" s="17">
        <f>IF(C46="","",C46&amp;"#"&amp;SUMPRODUCT(($C$5:C46=C46)*1))</f>
        <v/>
      </c>
    </row>
    <row r="47">
      <c r="A47" s="14" t="n">
        <v>43</v>
      </c>
      <c r="B47" s="15" t="inlineStr">
        <is>
          <t>Jenna Koestler</t>
        </is>
      </c>
      <c r="C47" s="16" t="inlineStr">
        <is>
          <t>4B</t>
        </is>
      </c>
      <c r="D47" s="15">
        <f>IFERROR(INDEX(Groups!$B$5:$B$15,MATCH(C47,Groups!$A$5:$A$15,0)),"Group not in list")</f>
        <v/>
      </c>
      <c r="E47" s="17">
        <f>IF(C47="","",C47&amp;"#"&amp;SUMPRODUCT(($C$5:C47=C47)*1))</f>
        <v/>
      </c>
    </row>
    <row r="48">
      <c r="A48" s="14" t="n">
        <v>44</v>
      </c>
      <c r="B48" s="15" t="inlineStr">
        <is>
          <t>Michelle Gutierrez</t>
        </is>
      </c>
      <c r="C48" s="16" t="inlineStr">
        <is>
          <t>4B</t>
        </is>
      </c>
      <c r="D48" s="15">
        <f>IFERROR(INDEX(Groups!$B$5:$B$15,MATCH(C48,Groups!$A$5:$A$15,0)),"Group not in list")</f>
        <v/>
      </c>
      <c r="E48" s="17">
        <f>IF(C48="","",C48&amp;"#"&amp;SUMPRODUCT(($C$5:C48=C48)*1))</f>
        <v/>
      </c>
    </row>
    <row r="49">
      <c r="A49" s="14" t="n">
        <v>45</v>
      </c>
      <c r="B49" s="15" t="inlineStr">
        <is>
          <t>Alyssa Jasso</t>
        </is>
      </c>
      <c r="C49" s="16" t="inlineStr">
        <is>
          <t>5B</t>
        </is>
      </c>
      <c r="D49" s="15">
        <f>IFERROR(INDEX(Groups!$B$5:$B$15,MATCH(C49,Groups!$A$5:$A$15,0)),"Group not in list")</f>
        <v/>
      </c>
      <c r="E49" s="17">
        <f>IF(C49="","",C49&amp;"#"&amp;SUMPRODUCT(($C$5:C49=C49)*1))</f>
        <v/>
      </c>
    </row>
    <row r="50">
      <c r="A50" s="14" t="n">
        <v>46</v>
      </c>
      <c r="B50" s="15" t="inlineStr">
        <is>
          <t>Brisa Colunga</t>
        </is>
      </c>
      <c r="C50" s="16" t="inlineStr">
        <is>
          <t>5B</t>
        </is>
      </c>
      <c r="D50" s="15">
        <f>IFERROR(INDEX(Groups!$B$5:$B$15,MATCH(C50,Groups!$A$5:$A$15,0)),"Group not in list")</f>
        <v/>
      </c>
      <c r="E50" s="17">
        <f>IF(C50="","",C50&amp;"#"&amp;SUMPRODUCT(($C$5:C50=C50)*1))</f>
        <v/>
      </c>
    </row>
    <row r="51">
      <c r="A51" s="14" t="n">
        <v>47</v>
      </c>
      <c r="B51" s="15" t="inlineStr">
        <is>
          <t>Valeria Leon</t>
        </is>
      </c>
      <c r="C51" s="16" t="inlineStr">
        <is>
          <t>5B</t>
        </is>
      </c>
      <c r="D51" s="15">
        <f>IFERROR(INDEX(Groups!$B$5:$B$15,MATCH(C51,Groups!$A$5:$A$15,0)),"Group not in list")</f>
        <v/>
      </c>
      <c r="E51" s="17">
        <f>IF(C51="","",C51&amp;"#"&amp;SUMPRODUCT(($C$5:C51=C51)*1))</f>
        <v/>
      </c>
    </row>
    <row r="52">
      <c r="A52" s="14" t="n">
        <v>48</v>
      </c>
      <c r="B52" s="15" t="inlineStr">
        <is>
          <t>Haylee Senior</t>
        </is>
      </c>
      <c r="C52" s="16" t="inlineStr">
        <is>
          <t>5B</t>
        </is>
      </c>
      <c r="D52" s="15">
        <f>IFERROR(INDEX(Groups!$B$5:$B$15,MATCH(C52,Groups!$A$5:$A$15,0)),"Group not in list")</f>
        <v/>
      </c>
      <c r="E52" s="17">
        <f>IF(C52="","",C52&amp;"#"&amp;SUMPRODUCT(($C$5:C52=C52)*1))</f>
        <v/>
      </c>
    </row>
    <row r="53">
      <c r="A53" s="14" t="n">
        <v>49</v>
      </c>
      <c r="B53" s="15" t="inlineStr">
        <is>
          <t>Maryam Ka</t>
        </is>
      </c>
      <c r="C53" s="16" t="inlineStr">
        <is>
          <t>6B</t>
        </is>
      </c>
      <c r="D53" s="15">
        <f>IFERROR(INDEX(Groups!$B$5:$B$15,MATCH(C53,Groups!$A$5:$A$15,0)),"Group not in list")</f>
        <v/>
      </c>
      <c r="E53" s="17">
        <f>IF(C53="","",C53&amp;"#"&amp;SUMPRODUCT(($C$5:C53=C53)*1))</f>
        <v/>
      </c>
    </row>
    <row r="54">
      <c r="A54" s="14" t="n">
        <v>50</v>
      </c>
      <c r="B54" s="15" t="inlineStr">
        <is>
          <t>Daniela Osorio</t>
        </is>
      </c>
      <c r="C54" s="16" t="inlineStr">
        <is>
          <t>6B</t>
        </is>
      </c>
      <c r="D54" s="15">
        <f>IFERROR(INDEX(Groups!$B$5:$B$15,MATCH(C54,Groups!$A$5:$A$15,0)),"Group not in list")</f>
        <v/>
      </c>
      <c r="E54" s="17">
        <f>IF(C54="","",C54&amp;"#"&amp;SUMPRODUCT(($C$5:C54=C54)*1))</f>
        <v/>
      </c>
    </row>
    <row r="55">
      <c r="A55" s="14" t="n">
        <v>51</v>
      </c>
      <c r="B55" s="15" t="inlineStr">
        <is>
          <t>Yasmine Padilla</t>
        </is>
      </c>
      <c r="C55" s="16" t="inlineStr">
        <is>
          <t>6B</t>
        </is>
      </c>
      <c r="D55" s="15">
        <f>IFERROR(INDEX(Groups!$B$5:$B$15,MATCH(C55,Groups!$A$5:$A$15,0)),"Group not in list")</f>
        <v/>
      </c>
      <c r="E55" s="17">
        <f>IF(C55="","",C55&amp;"#"&amp;SUMPRODUCT(($C$5:C55=C55)*1))</f>
        <v/>
      </c>
    </row>
    <row r="56">
      <c r="A56" s="14" t="n">
        <v>52</v>
      </c>
      <c r="B56" s="15" t="inlineStr">
        <is>
          <t>Hayley Ana Tarin</t>
        </is>
      </c>
      <c r="C56" s="16" t="inlineStr">
        <is>
          <t>6B</t>
        </is>
      </c>
      <c r="D56" s="15">
        <f>IFERROR(INDEX(Groups!$B$5:$B$15,MATCH(C56,Groups!$A$5:$A$15,0)),"Group not in list")</f>
        <v/>
      </c>
      <c r="E56" s="17">
        <f>IF(C56="","",C56&amp;"#"&amp;SUMPRODUCT(($C$5:C56=C56)*1))</f>
        <v/>
      </c>
    </row>
  </sheetData>
  <autoFilter ref="A4:D56"/>
  <mergeCells count="2">
    <mergeCell ref="A2:E2"/>
    <mergeCell ref="A1:E1"/>
  </mergeCells>
  <dataValidations count="1">
    <dataValidation sqref="C5:C56" showDropDown="0" showInputMessage="0" showErrorMessage="1" allowBlank="0" errorTitle="Group" error="Pick a group from the Groups tab (1A–5A, 1B–6B)." type="list">
      <formula1>=Groups!$A$5:$A$15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2026-10-01T18:46:58Z</dcterms:created>
  <dcterms:modified xsi:type="dcterms:W3CDTF">2026-10-01T18:46:58Z</dcterms:modified>
</cp:coreProperties>
</file>