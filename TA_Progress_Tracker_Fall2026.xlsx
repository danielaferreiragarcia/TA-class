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3" autoFilterDateGrouping="1"/>
  </bookViews>
  <sheets>
    <sheet name="Dashboard" sheetId="1" state="visible" r:id="rId1"/>
    <sheet name="Read Me" sheetId="2" state="visible" r:id="rId2"/>
    <sheet name="Task Tracker" sheetId="3" state="visible" r:id="rId3"/>
    <sheet name="Supplies &amp; Orders" sheetId="4" state="visible" r:id="rId4"/>
    <sheet name="DO Methods" sheetId="5" state="visible" r:id="rId5"/>
    <sheet name="Contacts" sheetId="6" state="visible" r:id="rId6"/>
    <sheet name="Meeting Notes" sheetId="7" state="visible" r:id="rId7"/>
  </sheets>
  <definedNames>
    <definedName name="CostAll">'Supplies &amp; Orders'!$I$32</definedName>
    <definedName name="CostMustHave">'Supplies &amp; Orders'!$I$30</definedName>
    <definedName name="DoseGperL">'Supplies &amp; Orders'!$F$76</definedName>
    <definedName name="DoseTotalG">'Supplies &amp; Orders'!$F$79</definedName>
    <definedName name="DOsite">'Supplies &amp; Orders'!$F$69</definedName>
    <definedName name="ItemStatus">'Supplies &amp; Orders'!$L$6:$L$28</definedName>
    <definedName name="MBmLperL">'Supplies &amp; Orders'!$F$120</definedName>
    <definedName name="MBpowderStock">'Supplies &amp; Orders'!$F$119</definedName>
    <definedName name="MethodQuant">'DO Methods'!$U$6:$U$16</definedName>
    <definedName name="MethodRank">'DO Methods'!$S$6:$S$16</definedName>
    <definedName name="MethodScore">'DO Methods'!$R$6:$R$16</definedName>
    <definedName name="NumGroups">'Supplies &amp; Orders'!$F$62</definedName>
    <definedName name="TaskCat">'Task Tracker'!$B$5:$B$80</definedName>
    <definedName name="TaskDue">'Task Tracker'!$H$5:$H$80</definedName>
    <definedName name="TaskFlag">'Task Tracker'!$K$5:$K$80</definedName>
    <definedName name="TaskIDs">'Task Tracker'!$A$5:$A$80</definedName>
    <definedName name="TaskName">'Task Tracker'!$C$5:$C$80</definedName>
    <definedName name="TaskSortKey">'Task Tracker'!$N$5:$N$80</definedName>
    <definedName name="TaskStatus">'Task Tracker'!$G$5:$G$80</definedName>
    <definedName name="TaskWho">'Task Tracker'!$E$5:$E$80</definedName>
    <definedName name="TopMethod">'DO Methods'!$B$6:$B$16</definedName>
    <definedName name="_xlnm._FilterDatabase" localSheetId="2" hidden="1">'Task Tracker'!$A$4:$L$80</definedName>
    <definedName name="_xlnm.Print_Titles" localSheetId="2">'Task Tracker'!$4:$4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mmm\ d\,\ yyyy"/>
    <numFmt numFmtId="165" formatCode="0;[Red]\-0;&quot;today&quot;"/>
    <numFmt numFmtId="166" formatCode="&quot;$&quot;#,##0.00"/>
    <numFmt numFmtId="167" formatCode="&quot;$&quot;#,##0.00;[Red]\-&quot;$&quot;#,##0.00"/>
    <numFmt numFmtId="168" formatCode="0.0"/>
    <numFmt numFmtId="169" formatCode="0.0%"/>
    <numFmt numFmtId="170" formatCode="0.000"/>
    <numFmt numFmtId="171" formatCode="0.0000"/>
    <numFmt numFmtId="172" formatCode="0.000000"/>
    <numFmt numFmtId="173" formatCode="0\ &quot;°C&quot;"/>
    <numFmt numFmtId="174" formatCode="\+0.000;\-0.000;0.000"/>
  </numFmts>
  <fonts count="24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595959"/>
      <sz val="9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000000"/>
      <sz val="10"/>
    </font>
    <font>
      <name val="Arial"/>
      <color rgb="FF0000FF"/>
      <sz val="10"/>
    </font>
    <font>
      <name val="Arial"/>
      <color rgb="FFA6A6A6"/>
      <sz val="8"/>
    </font>
    <font>
      <name val="Arial"/>
      <i val="1"/>
      <color rgb="FFA6A6A6"/>
      <sz val="8"/>
    </font>
    <font>
      <name val="Arial"/>
      <b val="1"/>
      <color rgb="FFCC0000"/>
      <sz val="12"/>
    </font>
    <font>
      <name val="Arial"/>
      <color rgb="FF0563C1"/>
      <sz val="10"/>
      <u val="single"/>
    </font>
    <font>
      <name val="Arial"/>
      <i val="1"/>
      <color rgb="FF595959"/>
      <sz val="8"/>
    </font>
    <font>
      <name val="Arial"/>
      <b val="1"/>
      <color rgb="FFCC0000"/>
      <sz val="10"/>
    </font>
    <font>
      <name val="Arial"/>
      <color rgb="FF595959"/>
      <sz val="9"/>
    </font>
    <font>
      <name val="Arial"/>
      <b val="1"/>
      <color rgb="FF006100"/>
      <sz val="11"/>
    </font>
    <font>
      <name val="Arial"/>
      <color rgb="FF000000"/>
      <sz val="9"/>
    </font>
    <font>
      <name val="Arial"/>
      <b val="1"/>
      <color rgb="FFC00000"/>
      <sz val="9"/>
    </font>
    <font>
      <name val="Arial"/>
      <i val="1"/>
      <color rgb="FF000000"/>
      <sz val="9"/>
    </font>
    <font>
      <name val="Arial"/>
      <b val="1"/>
      <color rgb="FF000000"/>
      <sz val="9"/>
    </font>
    <font>
      <name val="Arial"/>
      <color rgb="FF0563C1"/>
      <sz val="9"/>
      <u val="single"/>
    </font>
    <font>
      <name val="Arial"/>
      <b val="1"/>
      <color rgb="FFFFFFFF"/>
      <sz val="9"/>
    </font>
    <font>
      <name val="Arial"/>
      <b val="1"/>
      <color rgb="FF000000"/>
      <sz val="16"/>
    </font>
    <font>
      <name val="Arial"/>
      <b val="1"/>
      <color rgb="FF0000FF"/>
      <sz val="13"/>
    </font>
    <font>
      <name val="Arial"/>
      <b val="1"/>
      <color rgb="FFCC0000"/>
      <sz val="16"/>
    </font>
  </fonts>
  <fills count="9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62626"/>
        <bgColor rgb="FF262626"/>
      </patternFill>
    </fill>
    <fill>
      <patternFill patternType="solid">
        <fgColor rgb="FFFFF9E5"/>
        <bgColor rgb="FFFFF9E5"/>
      </patternFill>
    </fill>
    <fill>
      <patternFill patternType="solid">
        <fgColor rgb="FFF2F2F2"/>
        <bgColor rgb="FFF2F2F2"/>
      </patternFill>
    </fill>
    <fill>
      <patternFill patternType="solid">
        <fgColor rgb="FF595959"/>
        <bgColor rgb="FF595959"/>
      </patternFill>
    </fill>
    <fill>
      <patternFill patternType="solid">
        <fgColor rgb="FFE2EFDA"/>
        <bgColor rgb="FFE2EFDA"/>
      </patternFill>
    </fill>
    <fill>
      <patternFill patternType="solid">
        <fgColor rgb="FFFFC7CE"/>
        <bgColor rgb="FFFFC7CE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20" fillId="3" borderId="1" applyAlignment="1" pivotButton="0" quotePrefix="0" xfId="0">
      <alignment horizontal="center" vertical="center" wrapText="1"/>
    </xf>
    <xf numFmtId="164" fontId="21" fillId="5" borderId="1" applyAlignment="1" pivotButton="0" quotePrefix="0" xfId="0">
      <alignment horizontal="center" vertical="center" wrapText="1"/>
    </xf>
    <xf numFmtId="164" fontId="22" fillId="4" borderId="1" applyAlignment="1" pivotButton="0" quotePrefix="0" xfId="0">
      <alignment horizontal="center" vertical="center" wrapText="1"/>
    </xf>
    <xf numFmtId="1" fontId="23" fillId="5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9" fontId="21" fillId="5" borderId="1" applyAlignment="1" pivotButton="0" quotePrefix="0" xfId="0">
      <alignment horizontal="center" vertical="center" wrapText="1"/>
    </xf>
    <xf numFmtId="1" fontId="21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1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5" fillId="5" borderId="1" pivotButton="0" quotePrefix="0" xfId="0"/>
    <xf numFmtId="1" fontId="5" fillId="5" borderId="1" applyAlignment="1" pivotButton="0" quotePrefix="0" xfId="0">
      <alignment horizontal="center" vertical="center" wrapText="1"/>
    </xf>
    <xf numFmtId="9" fontId="5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6" fillId="4" borderId="1" pivotButton="0" quotePrefix="0" xfId="0"/>
    <xf numFmtId="0" fontId="4" fillId="0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5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/>
    </xf>
    <xf numFmtId="164" fontId="6" fillId="4" borderId="1" applyAlignment="1" pivotButton="0" quotePrefix="0" xfId="0">
      <alignment horizontal="center" vertical="top"/>
    </xf>
    <xf numFmtId="165" fontId="4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4" fillId="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166" fontId="6" fillId="4" borderId="1" applyAlignment="1" pivotButton="0" quotePrefix="0" xfId="0">
      <alignment horizontal="center" vertical="top" wrapText="1"/>
    </xf>
    <xf numFmtId="166" fontId="4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left" vertical="top" wrapText="1"/>
    </xf>
    <xf numFmtId="167" fontId="5" fillId="0" borderId="1" applyAlignment="1" pivotButton="0" quotePrefix="0" xfId="0">
      <alignment horizontal="center" vertical="center" wrapText="1"/>
    </xf>
    <xf numFmtId="166" fontId="6" fillId="4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12" fillId="0" borderId="1" applyAlignment="1" pivotButton="0" quotePrefix="0" xfId="0">
      <alignment horizontal="center" vertical="center" wrapText="1"/>
    </xf>
    <xf numFmtId="1" fontId="6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2" fontId="6" fillId="4" borderId="1" applyAlignment="1" pivotButton="0" quotePrefix="0" xfId="0">
      <alignment horizontal="center" vertical="center" wrapText="1"/>
    </xf>
    <xf numFmtId="168" fontId="6" fillId="4" borderId="1" applyAlignment="1" pivotButton="0" quotePrefix="0" xfId="0">
      <alignment horizontal="center" vertical="center" wrapText="1"/>
    </xf>
    <xf numFmtId="9" fontId="6" fillId="4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center" vertical="center" wrapText="1"/>
    </xf>
    <xf numFmtId="169" fontId="6" fillId="4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170" fontId="4" fillId="0" borderId="1" applyAlignment="1" pivotButton="0" quotePrefix="0" xfId="0">
      <alignment horizontal="center" vertical="center" wrapText="1"/>
    </xf>
    <xf numFmtId="168" fontId="4" fillId="0" borderId="1" applyAlignment="1" pivotButton="0" quotePrefix="0" xfId="0">
      <alignment horizontal="center" vertical="center" wrapText="1"/>
    </xf>
    <xf numFmtId="171" fontId="4" fillId="0" borderId="1" applyAlignment="1" pivotButton="0" quotePrefix="0" xfId="0">
      <alignment horizontal="center" vertical="center" wrapText="1"/>
    </xf>
    <xf numFmtId="172" fontId="4" fillId="0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2" fontId="14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1" fontId="14" fillId="7" borderId="1" applyAlignment="1" pivotButton="0" quotePrefix="0" xfId="0">
      <alignment horizontal="center" vertical="center" wrapText="1"/>
    </xf>
    <xf numFmtId="170" fontId="14" fillId="7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8" fontId="14" fillId="7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0" fontId="17" fillId="0" borderId="0" pivotButton="0" quotePrefix="0" xfId="0"/>
    <xf numFmtId="0" fontId="15" fillId="0" borderId="1" applyAlignment="1" pivotButton="0" quotePrefix="0" xfId="0">
      <alignment horizontal="center" vertical="top"/>
    </xf>
    <xf numFmtId="0" fontId="18" fillId="0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top" wrapText="1"/>
    </xf>
    <xf numFmtId="0" fontId="19" fillId="0" borderId="1" applyAlignment="1" pivotButton="0" quotePrefix="0" xfId="0">
      <alignment horizontal="left" vertical="top" wrapText="1"/>
    </xf>
    <xf numFmtId="1" fontId="6" fillId="4" borderId="1" applyAlignment="1" pivotButton="0" quotePrefix="0" xfId="0">
      <alignment horizontal="center" vertical="top"/>
    </xf>
    <xf numFmtId="2" fontId="5" fillId="0" borderId="1" applyAlignment="1" pivotButton="0" quotePrefix="0" xfId="0">
      <alignment horizontal="center" vertical="top"/>
    </xf>
    <xf numFmtId="1" fontId="5" fillId="0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left" vertical="top" wrapText="1"/>
    </xf>
    <xf numFmtId="164" fontId="6" fillId="4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168" fontId="5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170" fontId="5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173" fontId="4" fillId="0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indent="1"/>
    </xf>
    <xf numFmtId="174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/>
  </cellStyles>
  <dxfs count="19">
    <dxf>
      <font>
        <name val="Arial"/>
        <b val="1"/>
        <color rgb="FF000000"/>
        <sz val="11"/>
      </font>
      <fill>
        <patternFill patternType="solid">
          <fgColor rgb="FFFFD966"/>
          <bgColor rgb="FFFFD966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color rgb="FF375623"/>
        <sz val="10"/>
      </font>
      <fill>
        <patternFill patternType="solid">
          <fgColor rgb="FFE2EFDA"/>
          <bgColor rgb="FFE2EFDA"/>
        </patternFill>
      </fill>
    </dxf>
    <dxf>
      <font>
        <name val="Arial"/>
        <b val="1"/>
        <color rgb="FF9C5700"/>
        <sz val="10"/>
      </font>
      <fill>
        <patternFill patternType="solid">
          <fgColor rgb="FFFFEB9C"/>
          <bgColor rgb="FFFFEB9C"/>
        </patternFill>
      </fill>
    </dxf>
    <dxf>
      <font>
        <name val="Arial"/>
        <b val="1"/>
        <color rgb="FF1F4E79"/>
        <sz val="10"/>
      </font>
      <fill>
        <patternFill patternType="solid">
          <fgColor rgb="FFDDEBF7"/>
          <bgColor rgb="FFDDEBF7"/>
        </patternFill>
      </fill>
    </dxf>
    <dxf>
      <font>
        <name val="Arial"/>
        <b val="1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C00000"/>
        <sz val="10"/>
      </font>
    </dxf>
    <dxf>
      <font>
        <name val="Arial"/>
        <color rgb="FF006100"/>
        <sz val="10"/>
      </font>
    </dxf>
    <dxf>
      <font>
        <name val="Arial"/>
        <b val="1"/>
        <color rgb="FF9C5700"/>
        <sz val="10"/>
      </font>
      <fill>
        <patternFill patternType="solid">
          <fgColor rgb="FFFFEB9C"/>
          <bgColor rgb="FFFFEB9C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5B3A8C"/>
        <sz val="10"/>
      </font>
      <fill>
        <patternFill patternType="solid">
          <fgColor rgb="FFEDE7F6"/>
          <bgColor rgb="FFEDE7F6"/>
        </patternFill>
      </fill>
    </dxf>
    <dxf>
      <font>
        <name val="Arial"/>
        <b val="1"/>
        <color rgb="FFC65911"/>
        <sz val="10"/>
      </font>
      <fill>
        <patternFill patternType="solid">
          <fgColor rgb="FFFCE4D6"/>
          <bgColor rgb="FFFCE4D6"/>
        </patternFill>
      </fill>
    </dxf>
    <dxf>
      <font>
        <name val="Arial"/>
        <b val="1"/>
        <color rgb="FF1F4E79"/>
        <sz val="10"/>
      </font>
      <fill>
        <patternFill patternType="solid">
          <fgColor rgb="FFDDEBF7"/>
          <bgColor rgb="FFDDEBF7"/>
        </patternFill>
      </fill>
    </dxf>
    <dxf>
      <font>
        <name val="Arial"/>
        <b val="1"/>
        <color rgb="FFC00000"/>
        <sz val="10"/>
      </font>
    </dxf>
    <dxf>
      <font>
        <name val="Arial"/>
        <strike val="1"/>
        <color rgb="FF808080"/>
        <sz val="10"/>
      </font>
      <fill>
        <patternFill patternType="solid">
          <fgColor rgb="FFE2EFDA"/>
          <bgColor rgb="FFE2EFDA"/>
        </patternFill>
      </fill>
    </dxf>
    <dxf>
      <font>
        <name val="Arial"/>
        <b val="1"/>
        <color rgb="FF9C5700"/>
        <sz val="10"/>
      </font>
      <fill>
        <patternFill patternType="solid">
          <fgColor rgb="FFFFEB9C"/>
          <bgColor rgb="FFFFEB9C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Tasks by category — done vs. remaining</a:t>
            </a:r>
          </a:p>
        </rich>
      </tx>
      <overlay val="1"/>
    </title>
    <plotArea>
      <layout/>
      <barChart>
        <barDir val="bar"/>
        <grouping val="stacked"/>
        <varyColors val="1"/>
        <ser>
          <idx val="0"/>
          <order val="0"/>
          <tx>
            <strRef>
              <f>Dashboard!$D$8</f>
              <strCache>
                <ptCount val="1"/>
                <pt idx="0">
                  <v>Done</v>
                </pt>
              </strCache>
            </strRef>
          </tx>
          <spPr>
            <a:solidFill>
              <a:srgbClr val="70AD47"/>
            </a:solidFill>
            <a:ln>
              <a:prstDash val="solid"/>
            </a:ln>
          </spPr>
          <invertIfNegative val="1"/>
          <cat>
            <strRef>
              <f>Dashboard!$B$9:$B$15</f>
              <strCache>
                <ptCount val="7"/>
                <pt idx="0">
                  <v>1. TA Requirements</v>
                </pt>
                <pt idx="1">
                  <v>2. Lab Safety &amp; Access</v>
                </pt>
                <pt idx="2">
                  <v>3. Supplies &amp; Chemicals</v>
                </pt>
                <pt idx="3">
                  <v>4. DO Measurement Method</v>
                </pt>
                <pt idx="4">
                  <v>5. Lab &amp; Project Setup</v>
                </pt>
                <pt idx="5">
                  <v>6. Academic &amp; Assessment</v>
                </pt>
                <pt idx="6">
                  <v>7. Student Project Guidance</v>
                </pt>
              </strCache>
            </strRef>
          </cat>
          <val>
            <numRef>
              <f>Dashboard!$D$9:$D$15</f>
              <numCache>
                <formatCode>0</formatCode>
                <ptCount val="7"/>
                <pt idx="0">
                  <v>1</v>
                </pt>
                <pt idx="1">
                  <v>2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</v>
                </pt>
                <pt idx="6">
                  <v>0</v>
                </pt>
              </numCache>
            </numRef>
          </val>
        </ser>
        <ser>
          <idx val="1"/>
          <order val="1"/>
          <tx>
            <strRef>
              <f>Dashboard!$E$8</f>
              <strCache>
                <ptCount val="1"/>
                <pt idx="0">
                  <v>Remaining</v>
                </pt>
              </strCache>
            </strRef>
          </tx>
          <spPr>
            <a:solidFill>
              <a:srgbClr val="D9D9D9"/>
            </a:solidFill>
            <a:ln>
              <a:prstDash val="solid"/>
            </a:ln>
          </spPr>
          <invertIfNegative val="1"/>
          <cat>
            <strRef>
              <f>Dashboard!$B$9:$B$15</f>
              <strCache>
                <ptCount val="7"/>
                <pt idx="0">
                  <v>1. TA Requirements</v>
                </pt>
                <pt idx="1">
                  <v>2. Lab Safety &amp; Access</v>
                </pt>
                <pt idx="2">
                  <v>3. Supplies &amp; Chemicals</v>
                </pt>
                <pt idx="3">
                  <v>4. DO Measurement Method</v>
                </pt>
                <pt idx="4">
                  <v>5. Lab &amp; Project Setup</v>
                </pt>
                <pt idx="5">
                  <v>6. Academic &amp; Assessment</v>
                </pt>
                <pt idx="6">
                  <v>7. Student Project Guidance</v>
                </pt>
              </strCache>
            </strRef>
          </cat>
          <val>
            <numRef>
              <f>Dashboard!$E$9:$E$15</f>
              <numCache>
                <formatCode>0</formatCode>
                <ptCount val="7"/>
                <pt idx="0">
                  <v>1</v>
                </pt>
                <pt idx="1">
                  <v>1</v>
                </pt>
                <pt idx="2">
                  <v>7</v>
                </pt>
                <pt idx="3">
                  <v>4</v>
                </pt>
                <pt idx="4">
                  <v>5</v>
                </pt>
                <pt idx="5">
                  <v>0</v>
                </pt>
                <pt idx="6">
                  <v>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0"/>
        <axId val="100"/>
      </barChart>
      <catAx>
        <axId val="10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crossAx val="10"/>
        <crosses val="max"/>
        <crossBetween val="between"/>
        <majorUnit val="1"/>
      </valAx>
    </plotArea>
    <legend>
      <legendPos val="r"/>
      <overlay val="1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TA workbook</author>
  </authors>
  <commentList>
    <comment ref="C5" authorId="0" shapeId="0">
      <text>
        <t>October 1 was the date given in the meeting with the professor (with the &lt; $80 per group budget, 4–5 students per group). Confirm exactly what is due and edit if needed.</t>
      </text>
    </comment>
  </commentList>
</comments>
</file>

<file path=xl/comments/comment2.xml><?xml version="1.0" encoding="utf-8"?>
<comments xmlns="http://schemas.openxmlformats.org/spreadsheetml/2006/main">
  <authors>
    <author>TA</author>
    <author>TA workbook</author>
  </authors>
  <commentList>
    <comment ref="H6" authorId="0" shapeId="0">
      <text>
        <t>Cole-Parmer list price $68.60, ships by Oct 05 (from product page screenshot provided by the TA, Sep 28, 2026).</t>
      </text>
    </comment>
    <comment ref="H7" authorId="0" shapeId="0">
      <text>
        <t>TTU B2B (punchout) price $53.97 for 25 g, provided by the TA, Sep 28, 2026.</t>
      </text>
    </comment>
    <comment ref="H8" authorId="1" shapeId="0">
      <text>
        <t>Amazon, sold by Amazon.com, $5.99 each, in stock (checked Sep 22, 2026). This is the previous TA's example link (a.co/d/0c6b1Ve2).</t>
      </text>
    </comment>
    <comment ref="H9" authorId="1" shapeId="0">
      <text>
        <t>Amazon, $28.99 per 12-pack, in stock (checked Sep 22, 2026). Qty set to 0 — change to 1 if you choose this instead of the PP bottles.</t>
      </text>
    </comment>
    <comment ref="H10" authorId="1" shapeId="0">
      <text>
        <t>vernier.com, $19.00 (checked Sep 22, 2026). Use the equivalent part if the probe is another brand.</t>
      </text>
    </comment>
    <comment ref="H11" authorId="1" shapeId="0">
      <text>
        <t>vernier.com, $409.00 (checked Sep 22, 2026). PASCO PS-3246 is similar (~$404 incl. tariff surcharge).</t>
      </text>
    </comment>
    <comment ref="H12" authorId="1" shapeId="0">
      <text>
        <t>MegaDepot $69.99 (checked Sep 22, 2026); Cole-Parmer ~$90.20.</t>
      </text>
    </comment>
    <comment ref="H13" authorId="1" shapeId="0">
      <text>
        <t>MegaDepot $70.30 sale / $76.44 list (checked Sep 22, 2026).</t>
      </text>
    </comment>
    <comment ref="H14" authorId="1" shapeId="0">
      <text>
        <t>Sigma-Aldrich US list price, 1 g = $44.10, checked Sep 22, 2026.</t>
      </text>
    </comment>
    <comment ref="H15" authorId="1" shapeId="0">
      <text>
        <t>Amazon $6.49 (checked Sep 22, 2026).</t>
      </text>
    </comment>
    <comment ref="H16" authorId="1" shapeId="0">
      <text>
        <t>Amazon $17.99 (checked Sep 22, 2026). Smaller: 20 × 20 mL for $12.99 (B0F98KGPZ3).</t>
      </text>
    </comment>
    <comment ref="H17" authorId="1" shapeId="0">
      <text>
        <t>Amazon $6.19 (checked Sep 22, 2026).</t>
      </text>
    </comment>
    <comment ref="H18" authorId="1" shapeId="0">
      <text>
        <t>Amazon $11.99 (checked Sep 22, 2026).</t>
      </text>
    </comment>
    <comment ref="H19" authorId="1" shapeId="0">
      <text>
        <t>Amazon $30.96 (checked Sep 22, 2026).</t>
      </text>
    </comment>
    <comment ref="H20" authorId="1" shapeId="0">
      <text>
        <t>Amazon $23.56 (checked Sep 22, 2026).</t>
      </text>
    </comment>
    <comment ref="H21" authorId="1" shapeId="0">
      <text>
        <t>Amazon $9.49 (checked Sep 22, 2026).</t>
      </text>
    </comment>
    <comment ref="I33" authorId="0" shapeId="0">
      <text>
        <t>Budget $200, provided by the TA, Sep 28, 2026.</t>
      </text>
    </comment>
  </commentList>
</comments>
</file>

<file path=xl/comments/comment3.xml><?xml version="1.0" encoding="utf-8"?>
<comments xmlns="http://schemas.openxmlformats.org/spreadsheetml/2006/main">
  <authors>
    <author>TA workbook</author>
  </authors>
  <commentList>
    <comment ref="G4" authorId="0" shapeId="0">
      <text>
        <t>Word searched for in the Task Tracker 'Who / Contact' column. To add a person, fill a new row here (name + search key) and copy the Open tasks / Next step formulas down.</t>
      </text>
    </comment>
  </commentList>
</comments>
</file>

<file path=xl/comments/comment4.xml><?xml version="1.0" encoding="utf-8"?>
<comments xmlns="http://schemas.openxmlformats.org/spreadsheetml/2006/main">
  <authors>
    <author>TA workbook</author>
  </authors>
  <commentList>
    <comment ref="A5" authorId="0" shapeId="0">
      <text>
        <t>Enter the date of the meeting with the professor.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21</row>
      <rowOff>0</rowOff>
    </from>
    <ext cx="55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coleparmer.com/i/reagents-sodium-dithionite-purified-wide-mouth-amber-glass-bottle-500-g/7891904" TargetMode="External" Id="rId1" /><Relationship Type="http://schemas.openxmlformats.org/officeDocument/2006/relationships/hyperlink" Target="https://b2b.sigmaaldrich.com/US/en/product/sigma/m4159" TargetMode="External" Id="rId2" /><Relationship Type="http://schemas.openxmlformats.org/officeDocument/2006/relationships/hyperlink" Target="https://www.amazon.com/dp/B07DHWGFJM" TargetMode="External" Id="rId3" /><Relationship Type="http://schemas.openxmlformats.org/officeDocument/2006/relationships/hyperlink" Target="https://www.amazon.com/dp/B0CLXQCS45" TargetMode="External" Id="rId4" /><Relationship Type="http://schemas.openxmlformats.org/officeDocument/2006/relationships/hyperlink" Target="https://www.vernier.com/product/membrane-for-do-sensor/" TargetMode="External" Id="rId5" /><Relationship Type="http://schemas.openxmlformats.org/officeDocument/2006/relationships/hyperlink" Target="https://www.vernier.com/product/go-direct-optical-dissolved-oxygen-probe/" TargetMode="External" Id="rId6" /><Relationship Type="http://schemas.openxmlformats.org/officeDocument/2006/relationships/hyperlink" Target="https://www.chemetrics.com/product/oxygen-dissolved-chemets-visual-kit/" TargetMode="External" Id="rId7" /><Relationship Type="http://schemas.openxmlformats.org/officeDocument/2006/relationships/hyperlink" Target="https://www.chemetrics.com/product/chemetrics-dissolved-oxygen-test-kit-chemets-visual-kit-0-1-ppm-k-7501/" TargetMode="External" Id="rId8" /><Relationship Type="http://schemas.openxmlformats.org/officeDocument/2006/relationships/hyperlink" Target="https://www.sigmaaldrich.com/US/en/product/sigma/r7017" TargetMode="External" Id="rId9" /><Relationship Type="http://schemas.openxmlformats.org/officeDocument/2006/relationships/hyperlink" Target="https://www.amazon.com/dp/B08XJJ4VV3" TargetMode="External" Id="rId10" /><Relationship Type="http://schemas.openxmlformats.org/officeDocument/2006/relationships/hyperlink" Target="https://www.amazon.com/dp/B0DXMYP29M" TargetMode="External" Id="rId11" /><Relationship Type="http://schemas.openxmlformats.org/officeDocument/2006/relationships/hyperlink" Target="https://www.amazon.com/dp/B00WLIQHQ0" TargetMode="External" Id="rId12" /><Relationship Type="http://schemas.openxmlformats.org/officeDocument/2006/relationships/hyperlink" Target="https://a.co/d/07z51SDP" TargetMode="External" Id="rId13" /><Relationship Type="http://schemas.openxmlformats.org/officeDocument/2006/relationships/hyperlink" Target="https://www.amazon.com/dp/B00141UAJA" TargetMode="External" Id="rId14" /><Relationship Type="http://schemas.openxmlformats.org/officeDocument/2006/relationships/hyperlink" Target="https://www.amazon.com/dp/B08N5B5PL8" TargetMode="External" Id="rId15" /><Relationship Type="http://schemas.openxmlformats.org/officeDocument/2006/relationships/hyperlink" Target="https://www.amazon.com/dp/B08MLGSCVD" TargetMode="External" Id="rId16" /><Relationship Type="http://schemas.openxmlformats.org/officeDocument/2006/relationships/hyperlink" Target="https://a.co/d/05vP5Umd" TargetMode="External" Id="rId17" /><Relationship Type="http://schemas.openxmlformats.org/officeDocument/2006/relationships/hyperlink" Target="https://a.co/d/0bte87tQ" TargetMode="External" Id="rId18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pyroscience.com/en/products/all-sensors/oxsp5" TargetMode="External" Id="rId1" /><Relationship Type="http://schemas.openxmlformats.org/officeDocument/2006/relationships/hyperlink" Target="https://www.vernier.com/product/go-direct-optical-dissolved-oxygen-probe/" TargetMode="External" Id="rId2" /><Relationship Type="http://schemas.openxmlformats.org/officeDocument/2006/relationships/hyperlink" Target="https://www.vernier.com/product/membrane-for-do-sensor/" TargetMode="External" Id="rId3" /><Relationship Type="http://schemas.openxmlformats.org/officeDocument/2006/relationships/hyperlink" Target="https://www.sigmaaldrich.com/US/en/product/sial/66720" TargetMode="External" Id="rId4" /><Relationship Type="http://schemas.openxmlformats.org/officeDocument/2006/relationships/hyperlink" Target="https://www.sigmaaldrich.com/US/en/product/sigma/r7017" TargetMode="External" Id="rId5" /><Relationship Type="http://schemas.openxmlformats.org/officeDocument/2006/relationships/hyperlink" Target="https://www.chemetrics.com/product/oxygen-dissolved-chemets-visual-kit/" TargetMode="External" Id="rId6" /><Relationship Type="http://schemas.openxmlformats.org/officeDocument/2006/relationships/hyperlink" Target="https://lamotte.com/product/dissolved-oxygen-test-kit-5860-01/" TargetMode="External" Id="rId7" /><Relationship Type="http://schemas.openxmlformats.org/officeDocument/2006/relationships/hyperlink" Target="https://www.hach.com/dissolved-oxygen-accuvac-ampules-high-range-pk-25/product?id=7640193981" TargetMode="External" Id="rId8" /><Relationship Type="http://schemas.openxmlformats.org/officeDocument/2006/relationships/hyperlink" Target="https://www.dfrobot.com/product-1628.html" TargetMode="External" Id="rId9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tabColor rgb="FFCC0000"/>
    <outlinePr summaryBelow="1" summaryRight="1"/>
    <pageSetUpPr fitToPage="1"/>
  </sheetPr>
  <dimension ref="A1:N25"/>
  <sheetViews>
    <sheetView showGridLines="0" workbookViewId="0">
      <selection activeCell="F9" sqref="F9"/>
    </sheetView>
  </sheetViews>
  <sheetFormatPr baseColWidth="8" defaultRowHeight="15"/>
  <cols>
    <col width="2" customWidth="1" style="81" min="1" max="1"/>
    <col width="26" customWidth="1" style="81" min="2" max="2"/>
    <col width="16" customWidth="1" style="81" min="3" max="3"/>
    <col width="13" customWidth="1" style="81" min="4" max="8"/>
    <col width="11" customWidth="1" style="81" min="9" max="9"/>
    <col width="10" customWidth="1" style="81" min="10" max="10"/>
    <col width="3" customWidth="1" style="81" min="11" max="11"/>
    <col width="40" customWidth="1" style="81" min="12" max="12"/>
    <col width="17" customWidth="1" style="81" min="13" max="14"/>
  </cols>
  <sheetData>
    <row r="1" ht="30" customHeight="1" s="81">
      <c r="A1" s="82" t="inlineStr">
        <is>
          <t>Engineering Design TA — Progress Dashboard · Fall 2026</t>
        </is>
      </c>
    </row>
    <row r="2" ht="28.15" customHeight="1" s="81">
      <c r="A2" s="80" t="inlineStr">
        <is>
          <t>Everything here is calculated from the other tabs. Update task Status in 'Task Tracker' and order Status in 'Supplies &amp; Orders' — this page follows.</t>
        </is>
      </c>
    </row>
    <row r="4" ht="30" customHeight="1" s="81">
      <c r="B4" s="1" t="inlineStr">
        <is>
          <t>Today</t>
        </is>
      </c>
      <c r="C4" s="1" t="inlineStr">
        <is>
          <t>Key date (from meeting)</t>
        </is>
      </c>
      <c r="D4" s="1" t="inlineStr">
        <is>
          <t>Days to key date</t>
        </is>
      </c>
      <c r="E4" s="1" t="inlineStr">
        <is>
          <t>One-time tasks done</t>
        </is>
      </c>
      <c r="F4" s="1" t="inlineStr">
        <is>
          <t>Progress (one-time tasks)</t>
        </is>
      </c>
      <c r="G4" s="1" t="inlineStr">
        <is>
          <t>Overdue</t>
        </is>
      </c>
      <c r="H4" s="1" t="inlineStr">
        <is>
          <t>Due in next 7 days</t>
        </is>
      </c>
    </row>
    <row r="5" ht="36" customHeight="1" s="81">
      <c r="B5" s="2">
        <f>TODAY()</f>
        <v/>
      </c>
      <c r="C5" s="3" t="n">
        <v>46296</v>
      </c>
      <c r="D5" s="4">
        <f>C5-B5</f>
        <v/>
      </c>
      <c r="E5" s="5">
        <f>COUNTIF(TaskStatus,"Done")&amp;" / "&amp;(COUNTA(TaskIDs)-COUNTIF(TaskStatus,"Ongoing"))</f>
        <v/>
      </c>
      <c r="F5" s="6">
        <f>IFERROR(COUNTIF(TaskStatus,"Done")/(COUNTA(TaskIDs)-COUNTIF(TaskStatus,"Ongoing")),0)</f>
        <v/>
      </c>
      <c r="G5" s="4">
        <f>COUNTIF(TaskFlag,"Overdue")</f>
        <v/>
      </c>
      <c r="H5" s="7">
        <f>COUNTIFS(TaskDue,"&gt;="&amp;TODAY(),TaskDue,"&lt;="&amp;TODAY()+7,TaskStatus,"&lt;&gt;Done",TaskStatus,"&lt;&gt;Ongoing")</f>
        <v/>
      </c>
    </row>
    <row r="7" ht="22.15" customHeight="1" s="81">
      <c r="B7" s="90" t="inlineStr">
        <is>
          <t>Progress by category</t>
        </is>
      </c>
      <c r="L7" s="90" t="inlineStr">
        <is>
          <t>Lab prep snapshot</t>
        </is>
      </c>
    </row>
    <row r="8" ht="19.9" customHeight="1" s="81">
      <c r="B8" s="94" t="inlineStr">
        <is>
          <t>Category</t>
        </is>
      </c>
      <c r="C8" s="94" t="inlineStr">
        <is>
          <t>Tasks</t>
        </is>
      </c>
      <c r="D8" s="94" t="inlineStr">
        <is>
          <t>Done</t>
        </is>
      </c>
      <c r="E8" s="94" t="inlineStr">
        <is>
          <t>Remaining</t>
        </is>
      </c>
      <c r="F8" s="94" t="inlineStr">
        <is>
          <t>In progress</t>
        </is>
      </c>
      <c r="G8" s="94" t="inlineStr">
        <is>
          <t>Waiting</t>
        </is>
      </c>
      <c r="H8" s="94" t="inlineStr">
        <is>
          <t>Not started</t>
        </is>
      </c>
      <c r="I8" s="94" t="inlineStr">
        <is>
          <t>Ongoing</t>
        </is>
      </c>
      <c r="J8" s="94" t="inlineStr">
        <is>
          <t>% Done</t>
        </is>
      </c>
      <c r="L8" s="86" t="inlineStr">
        <is>
          <t>Supplies — must-have cost (est.)</t>
        </is>
      </c>
      <c r="M8" s="88">
        <f>CostMustHave</f>
        <v/>
      </c>
      <c r="N8" s="96" t="n"/>
    </row>
    <row r="9" ht="19.9" customHeight="1" s="81">
      <c r="B9" s="10" t="inlineStr">
        <is>
          <t>1. TA Requirements</t>
        </is>
      </c>
      <c r="C9" s="11">
        <f>COUNTIF(TaskCat,B9)</f>
        <v/>
      </c>
      <c r="D9" s="11">
        <f>COUNTIFS(TaskCat,B9,TaskStatus,"Done")</f>
        <v/>
      </c>
      <c r="E9" s="11">
        <f>C9-D9-I9</f>
        <v/>
      </c>
      <c r="F9" s="11">
        <f>COUNTIFS(TaskCat,B9,TaskStatus,"In progress")</f>
        <v/>
      </c>
      <c r="G9" s="11">
        <f>COUNTIFS(TaskCat,B9,TaskStatus,"Waiting")</f>
        <v/>
      </c>
      <c r="H9" s="11">
        <f>COUNTIFS(TaskCat,B9,TaskStatus,"Not started")</f>
        <v/>
      </c>
      <c r="I9" s="11">
        <f>COUNTIFS(TaskCat,B9,TaskStatus,"Ongoing")</f>
        <v/>
      </c>
      <c r="J9" s="12">
        <f>IFERROR(D9/(C9-I9),0)</f>
        <v/>
      </c>
      <c r="L9" s="86" t="inlineStr">
        <is>
          <t>Supplies — everything listed (upper bound)</t>
        </is>
      </c>
      <c r="M9" s="88">
        <f>CostAll</f>
        <v/>
      </c>
      <c r="N9" s="96" t="n"/>
    </row>
    <row r="10" ht="19.9" customHeight="1" s="81">
      <c r="B10" s="10" t="inlineStr">
        <is>
          <t>2. Lab Safety &amp; Access</t>
        </is>
      </c>
      <c r="C10" s="11">
        <f>COUNTIF(TaskCat,B10)</f>
        <v/>
      </c>
      <c r="D10" s="11">
        <f>COUNTIFS(TaskCat,B10,TaskStatus,"Done")</f>
        <v/>
      </c>
      <c r="E10" s="11">
        <f>C10-D10-I10</f>
        <v/>
      </c>
      <c r="F10" s="11">
        <f>COUNTIFS(TaskCat,B10,TaskStatus,"In progress")</f>
        <v/>
      </c>
      <c r="G10" s="11">
        <f>COUNTIFS(TaskCat,B10,TaskStatus,"Waiting")</f>
        <v/>
      </c>
      <c r="H10" s="11">
        <f>COUNTIFS(TaskCat,B10,TaskStatus,"Not started")</f>
        <v/>
      </c>
      <c r="I10" s="11">
        <f>COUNTIFS(TaskCat,B10,TaskStatus,"Ongoing")</f>
        <v/>
      </c>
      <c r="J10" s="12">
        <f>IFERROR(D10/(C10-I10),0)</f>
        <v/>
      </c>
      <c r="L10" s="86" t="inlineStr">
        <is>
          <t>Items to check in lab / order</t>
        </is>
      </c>
      <c r="M10" s="89">
        <f>COUNTIF(ItemStatus,"To order")+COUNTIF(ItemStatus,"Check lab first")</f>
        <v/>
      </c>
      <c r="N10" s="96" t="n"/>
    </row>
    <row r="11" ht="19.9" customHeight="1" s="81">
      <c r="B11" s="10" t="inlineStr">
        <is>
          <t>3. Supplies &amp; Chemicals</t>
        </is>
      </c>
      <c r="C11" s="11">
        <f>COUNTIF(TaskCat,B11)</f>
        <v/>
      </c>
      <c r="D11" s="11">
        <f>COUNTIFS(TaskCat,B11,TaskStatus,"Done")</f>
        <v/>
      </c>
      <c r="E11" s="11">
        <f>C11-D11-I11</f>
        <v/>
      </c>
      <c r="F11" s="11">
        <f>COUNTIFS(TaskCat,B11,TaskStatus,"In progress")</f>
        <v/>
      </c>
      <c r="G11" s="11">
        <f>COUNTIFS(TaskCat,B11,TaskStatus,"Waiting")</f>
        <v/>
      </c>
      <c r="H11" s="11">
        <f>COUNTIFS(TaskCat,B11,TaskStatus,"Not started")</f>
        <v/>
      </c>
      <c r="I11" s="11">
        <f>COUNTIFS(TaskCat,B11,TaskStatus,"Ongoing")</f>
        <v/>
      </c>
      <c r="J11" s="12">
        <f>IFERROR(D11/(C11-I11),0)</f>
        <v/>
      </c>
      <c r="L11" s="86" t="inlineStr">
        <is>
          <t>Items ordered (in transit)</t>
        </is>
      </c>
      <c r="M11" s="89">
        <f>COUNTIF(ItemStatus,"Ordered")</f>
        <v/>
      </c>
      <c r="N11" s="96" t="n"/>
    </row>
    <row r="12" ht="19.9" customHeight="1" s="81">
      <c r="B12" s="10" t="inlineStr">
        <is>
          <t>4. DO Measurement Method</t>
        </is>
      </c>
      <c r="C12" s="11">
        <f>COUNTIF(TaskCat,B12)</f>
        <v/>
      </c>
      <c r="D12" s="11">
        <f>COUNTIFS(TaskCat,B12,TaskStatus,"Done")</f>
        <v/>
      </c>
      <c r="E12" s="11">
        <f>C12-D12-I12</f>
        <v/>
      </c>
      <c r="F12" s="11">
        <f>COUNTIFS(TaskCat,B12,TaskStatus,"In progress")</f>
        <v/>
      </c>
      <c r="G12" s="11">
        <f>COUNTIFS(TaskCat,B12,TaskStatus,"Waiting")</f>
        <v/>
      </c>
      <c r="H12" s="11">
        <f>COUNTIFS(TaskCat,B12,TaskStatus,"Not started")</f>
        <v/>
      </c>
      <c r="I12" s="11">
        <f>COUNTIFS(TaskCat,B12,TaskStatus,"Ongoing")</f>
        <v/>
      </c>
      <c r="J12" s="12">
        <f>IFERROR(D12/(C12-I12),0)</f>
        <v/>
      </c>
      <c r="L12" s="86" t="inlineStr">
        <is>
          <t>Items received / in lab</t>
        </is>
      </c>
      <c r="M12" s="89">
        <f>COUNTIF(ItemStatus,"Received")+COUNTIF(ItemStatus,"Available in lab")</f>
        <v/>
      </c>
      <c r="N12" s="96" t="n"/>
    </row>
    <row r="13" ht="19.9" customHeight="1" s="81">
      <c r="B13" s="10" t="inlineStr">
        <is>
          <t>5. Lab &amp; Project Setup</t>
        </is>
      </c>
      <c r="C13" s="11">
        <f>COUNTIF(TaskCat,B13)</f>
        <v/>
      </c>
      <c r="D13" s="11">
        <f>COUNTIFS(TaskCat,B13,TaskStatus,"Done")</f>
        <v/>
      </c>
      <c r="E13" s="11">
        <f>C13-D13-I13</f>
        <v/>
      </c>
      <c r="F13" s="11">
        <f>COUNTIFS(TaskCat,B13,TaskStatus,"In progress")</f>
        <v/>
      </c>
      <c r="G13" s="11">
        <f>COUNTIFS(TaskCat,B13,TaskStatus,"Waiting")</f>
        <v/>
      </c>
      <c r="H13" s="11">
        <f>COUNTIFS(TaskCat,B13,TaskStatus,"Not started")</f>
        <v/>
      </c>
      <c r="I13" s="11">
        <f>COUNTIFS(TaskCat,B13,TaskStatus,"Ongoing")</f>
        <v/>
      </c>
      <c r="J13" s="12">
        <f>IFERROR(D13/(C13-I13),0)</f>
        <v/>
      </c>
      <c r="L13" s="86" t="inlineStr">
        <is>
          <t>Oxygenation groups</t>
        </is>
      </c>
      <c r="M13" s="89">
        <f>NumGroups</f>
        <v/>
      </c>
      <c r="N13" s="96" t="n"/>
    </row>
    <row r="14" ht="19.9" customHeight="1" s="81">
      <c r="B14" s="10" t="inlineStr">
        <is>
          <t>6. Academic &amp; Assessment</t>
        </is>
      </c>
      <c r="C14" s="11">
        <f>COUNTIF(TaskCat,B14)</f>
        <v/>
      </c>
      <c r="D14" s="11">
        <f>COUNTIFS(TaskCat,B14,TaskStatus,"Done")</f>
        <v/>
      </c>
      <c r="E14" s="11">
        <f>C14-D14-I14</f>
        <v/>
      </c>
      <c r="F14" s="11">
        <f>COUNTIFS(TaskCat,B14,TaskStatus,"In progress")</f>
        <v/>
      </c>
      <c r="G14" s="11">
        <f>COUNTIFS(TaskCat,B14,TaskStatus,"Waiting")</f>
        <v/>
      </c>
      <c r="H14" s="11">
        <f>COUNTIFS(TaskCat,B14,TaskStatus,"Not started")</f>
        <v/>
      </c>
      <c r="I14" s="11">
        <f>COUNTIFS(TaskCat,B14,TaskStatus,"Ongoing")</f>
        <v/>
      </c>
      <c r="J14" s="12">
        <f>IFERROR(D14/(C14-I14),0)</f>
        <v/>
      </c>
      <c r="L14" s="86" t="inlineStr">
        <is>
          <t>DO saturation at the lab (mg/L)</t>
        </is>
      </c>
      <c r="M14" s="92">
        <f>DOsite</f>
        <v/>
      </c>
      <c r="N14" s="96" t="n"/>
    </row>
    <row r="15" ht="19.9" customHeight="1" s="81">
      <c r="B15" s="10" t="inlineStr">
        <is>
          <t>7. Student Project Guidance</t>
        </is>
      </c>
      <c r="C15" s="11">
        <f>COUNTIF(TaskCat,B15)</f>
        <v/>
      </c>
      <c r="D15" s="11">
        <f>COUNTIFS(TaskCat,B15,TaskStatus,"Done")</f>
        <v/>
      </c>
      <c r="E15" s="11">
        <f>C15-D15-I15</f>
        <v/>
      </c>
      <c r="F15" s="11">
        <f>COUNTIFS(TaskCat,B15,TaskStatus,"In progress")</f>
        <v/>
      </c>
      <c r="G15" s="11">
        <f>COUNTIFS(TaskCat,B15,TaskStatus,"Waiting")</f>
        <v/>
      </c>
      <c r="H15" s="11">
        <f>COUNTIFS(TaskCat,B15,TaskStatus,"Not started")</f>
        <v/>
      </c>
      <c r="I15" s="11">
        <f>COUNTIFS(TaskCat,B15,TaskStatus,"Ongoing")</f>
        <v/>
      </c>
      <c r="J15" s="12">
        <f>IFERROR(D15/(C15-I15),0)</f>
        <v/>
      </c>
      <c r="L15" s="86" t="inlineStr">
        <is>
          <t>Na₂S₂O₄ dose per 1 L (g)</t>
        </is>
      </c>
      <c r="M15" s="93">
        <f>DoseGperL</f>
        <v/>
      </c>
      <c r="N15" s="96" t="n"/>
    </row>
    <row r="16" ht="19.9" customHeight="1" s="81">
      <c r="B16" s="14" t="inlineStr">
        <is>
          <t>TOTAL</t>
        </is>
      </c>
      <c r="C16" s="15">
        <f>SUM(C9:C15)</f>
        <v/>
      </c>
      <c r="D16" s="15">
        <f>SUM(D9:D15)</f>
        <v/>
      </c>
      <c r="E16" s="15">
        <f>SUM(E9:E15)</f>
        <v/>
      </c>
      <c r="F16" s="15">
        <f>SUM(F9:F15)</f>
        <v/>
      </c>
      <c r="G16" s="15">
        <f>SUM(G9:G15)</f>
        <v/>
      </c>
      <c r="H16" s="15">
        <f>SUM(H9:H15)</f>
        <v/>
      </c>
      <c r="I16" s="15">
        <f>SUM(I9:I15)</f>
        <v/>
      </c>
      <c r="J16" s="16">
        <f>F5</f>
        <v/>
      </c>
      <c r="L16" s="86" t="inlineStr">
        <is>
          <t>Na₂S₂O₄ for whole class (g)</t>
        </is>
      </c>
      <c r="M16" s="92">
        <f>DoseTotalG</f>
        <v/>
      </c>
      <c r="N16" s="96" t="n"/>
    </row>
    <row r="17" ht="19.9" customHeight="1" s="81">
      <c r="B17" s="17" t="inlineStr">
        <is>
          <t>Remaining = one-time tasks not done (In progress + Waiting + Not started). Ongoing tasks are not counted in % done.</t>
        </is>
      </c>
      <c r="L17" s="86">
        <f>"MB powder per "&amp;'Supplies &amp; Orders'!F113&amp;" mL flask of "&amp;'Supplies &amp; Orders'!F112/1000&amp;" g/L stock (mg)"</f>
        <v/>
      </c>
      <c r="M17" s="91">
        <f>MBpowderStock</f>
        <v/>
      </c>
      <c r="N17" s="96" t="n"/>
    </row>
    <row r="18" ht="46.15" customHeight="1" s="81">
      <c r="B18" s="90" t="inlineStr">
        <is>
          <t>Next deadlines (not done)</t>
        </is>
      </c>
      <c r="L18" s="86" t="inlineStr">
        <is>
          <t>Top DO measurement method (gives mg/L)</t>
        </is>
      </c>
      <c r="M18" s="84">
        <f>IFERROR(INDEX(TopMethod,MATCH(1,INDEX((MethodScore=_xlfn.AGGREGATE(14,6,MethodScore/(MethodQuant="Y"),1))*(MethodQuant="Y"),0),0)),"")</f>
        <v/>
      </c>
      <c r="N18" s="96" t="n"/>
    </row>
    <row r="19" ht="46.15" customHeight="1" s="81">
      <c r="B19" s="94" t="inlineStr">
        <is>
          <t>Task ID</t>
        </is>
      </c>
      <c r="C19" s="94" t="inlineStr">
        <is>
          <t>Task</t>
        </is>
      </c>
      <c r="D19" s="95" t="n"/>
      <c r="E19" s="96" t="n"/>
      <c r="F19" s="94" t="inlineStr">
        <is>
          <t>Target</t>
        </is>
      </c>
      <c r="G19" s="94" t="inlineStr">
        <is>
          <t>Days left</t>
        </is>
      </c>
      <c r="H19" s="94" t="inlineStr">
        <is>
          <t>Who</t>
        </is>
      </c>
      <c r="L19" s="86" t="inlineStr">
        <is>
          <t>Top color indicator (qualitative only)</t>
        </is>
      </c>
      <c r="M19" s="84">
        <f>IFERROR(INDEX(TopMethod,MATCH(1,INDEX((MethodScore=_xlfn.AGGREGATE(14,6,MethodScore/(MethodQuant="N"),1))*(MethodQuant="N"),0),0)),"")</f>
        <v/>
      </c>
      <c r="N19" s="96" t="n"/>
    </row>
    <row r="20" ht="28.15" customHeight="1" s="81">
      <c r="B20" s="87">
        <f>IFERROR(INDEX(TaskIDs,MATCH(SMALL(TaskSortKey,1),TaskSortKey,0)),"")</f>
        <v/>
      </c>
      <c r="C20" s="86">
        <f>IFERROR(INDEX(TaskName,MATCH(SMALL(TaskSortKey,1),TaskSortKey,0)),"")</f>
        <v/>
      </c>
      <c r="D20" s="95" t="n"/>
      <c r="E20" s="96" t="n"/>
      <c r="F20" s="19">
        <f>IFERROR(INDEX(TaskDue,MATCH(SMALL(TaskSortKey,1),TaskSortKey,0)),"")</f>
        <v/>
      </c>
      <c r="G20" s="20">
        <f>IF(F20="","",F20-TODAY())</f>
        <v/>
      </c>
      <c r="H20" s="86">
        <f>IFERROR(INDEX(TaskWho,MATCH(SMALL(TaskSortKey,1),TaskSortKey,0)),"")</f>
        <v/>
      </c>
    </row>
    <row r="21" ht="28.15" customHeight="1" s="81">
      <c r="B21" s="87">
        <f>IFERROR(INDEX(TaskIDs,MATCH(SMALL(TaskSortKey,2),TaskSortKey,0)),"")</f>
        <v/>
      </c>
      <c r="C21" s="86">
        <f>IFERROR(INDEX(TaskName,MATCH(SMALL(TaskSortKey,2),TaskSortKey,0)),"")</f>
        <v/>
      </c>
      <c r="D21" s="95" t="n"/>
      <c r="E21" s="96" t="n"/>
      <c r="F21" s="19">
        <f>IFERROR(INDEX(TaskDue,MATCH(SMALL(TaskSortKey,2),TaskSortKey,0)),"")</f>
        <v/>
      </c>
      <c r="G21" s="20">
        <f>IF(F21="","",F21-TODAY())</f>
        <v/>
      </c>
      <c r="H21" s="86">
        <f>IFERROR(INDEX(TaskWho,MATCH(SMALL(TaskSortKey,2),TaskSortKey,0)),"")</f>
        <v/>
      </c>
    </row>
    <row r="22" ht="28.15" customHeight="1" s="81">
      <c r="B22" s="87">
        <f>IFERROR(INDEX(TaskIDs,MATCH(SMALL(TaskSortKey,3),TaskSortKey,0)),"")</f>
        <v/>
      </c>
      <c r="C22" s="86">
        <f>IFERROR(INDEX(TaskName,MATCH(SMALL(TaskSortKey,3),TaskSortKey,0)),"")</f>
        <v/>
      </c>
      <c r="D22" s="95" t="n"/>
      <c r="E22" s="96" t="n"/>
      <c r="F22" s="19">
        <f>IFERROR(INDEX(TaskDue,MATCH(SMALL(TaskSortKey,3),TaskSortKey,0)),"")</f>
        <v/>
      </c>
      <c r="G22" s="20">
        <f>IF(F22="","",F22-TODAY())</f>
        <v/>
      </c>
      <c r="H22" s="86">
        <f>IFERROR(INDEX(TaskWho,MATCH(SMALL(TaskSortKey,3),TaskSortKey,0)),"")</f>
        <v/>
      </c>
    </row>
    <row r="23" ht="28.15" customHeight="1" s="81">
      <c r="B23" s="87">
        <f>IFERROR(INDEX(TaskIDs,MATCH(SMALL(TaskSortKey,4),TaskSortKey,0)),"")</f>
        <v/>
      </c>
      <c r="C23" s="86">
        <f>IFERROR(INDEX(TaskName,MATCH(SMALL(TaskSortKey,4),TaskSortKey,0)),"")</f>
        <v/>
      </c>
      <c r="D23" s="95" t="n"/>
      <c r="E23" s="96" t="n"/>
      <c r="F23" s="19">
        <f>IFERROR(INDEX(TaskDue,MATCH(SMALL(TaskSortKey,4),TaskSortKey,0)),"")</f>
        <v/>
      </c>
      <c r="G23" s="20">
        <f>IF(F23="","",F23-TODAY())</f>
        <v/>
      </c>
      <c r="H23" s="86">
        <f>IFERROR(INDEX(TaskWho,MATCH(SMALL(TaskSortKey,4),TaskSortKey,0)),"")</f>
        <v/>
      </c>
    </row>
    <row r="24" ht="28.15" customHeight="1" s="81">
      <c r="B24" s="87">
        <f>IFERROR(INDEX(TaskIDs,MATCH(SMALL(TaskSortKey,5),TaskSortKey,0)),"")</f>
        <v/>
      </c>
      <c r="C24" s="86">
        <f>IFERROR(INDEX(TaskName,MATCH(SMALL(TaskSortKey,5),TaskSortKey,0)),"")</f>
        <v/>
      </c>
      <c r="D24" s="95" t="n"/>
      <c r="E24" s="96" t="n"/>
      <c r="F24" s="19">
        <f>IFERROR(INDEX(TaskDue,MATCH(SMALL(TaskSortKey,5),TaskSortKey,0)),"")</f>
        <v/>
      </c>
      <c r="G24" s="20">
        <f>IF(F24="","",F24-TODAY())</f>
        <v/>
      </c>
      <c r="H24" s="86">
        <f>IFERROR(INDEX(TaskWho,MATCH(SMALL(TaskSortKey,5),TaskSortKey,0)),"")</f>
        <v/>
      </c>
    </row>
    <row r="25" ht="28.15" customHeight="1" s="81">
      <c r="B25" s="87">
        <f>IFERROR(INDEX(TaskIDs,MATCH(SMALL(TaskSortKey,6),TaskSortKey,0)),"")</f>
        <v/>
      </c>
      <c r="C25" s="86">
        <f>IFERROR(INDEX(TaskName,MATCH(SMALL(TaskSortKey,6),TaskSortKey,0)),"")</f>
        <v/>
      </c>
      <c r="D25" s="95" t="n"/>
      <c r="E25" s="96" t="n"/>
      <c r="F25" s="19">
        <f>IFERROR(INDEX(TaskDue,MATCH(SMALL(TaskSortKey,6),TaskSortKey,0)),"")</f>
        <v/>
      </c>
      <c r="G25" s="20">
        <f>IF(F25="","",F25-TODAY())</f>
        <v/>
      </c>
      <c r="H25" s="86">
        <f>IFERROR(INDEX(TaskWho,MATCH(SMALL(TaskSortKey,6),TaskSortKey,0)),"")</f>
        <v/>
      </c>
    </row>
  </sheetData>
  <mergeCells count="24">
    <mergeCell ref="C22:E22"/>
    <mergeCell ref="M9:N9"/>
    <mergeCell ref="C21:E21"/>
    <mergeCell ref="A1:N1"/>
    <mergeCell ref="M11:N11"/>
    <mergeCell ref="C23:E23"/>
    <mergeCell ref="M10:N10"/>
    <mergeCell ref="M13:N13"/>
    <mergeCell ref="M16:N16"/>
    <mergeCell ref="M15:N15"/>
    <mergeCell ref="C19:E19"/>
    <mergeCell ref="B18:H18"/>
    <mergeCell ref="M12:N12"/>
    <mergeCell ref="A2:N2"/>
    <mergeCell ref="M18:N18"/>
    <mergeCell ref="M8:N8"/>
    <mergeCell ref="C24:E24"/>
    <mergeCell ref="M17:N17"/>
    <mergeCell ref="B7:J7"/>
    <mergeCell ref="L7:N7"/>
    <mergeCell ref="M14:N14"/>
    <mergeCell ref="M19:N19"/>
    <mergeCell ref="C20:E20"/>
    <mergeCell ref="C25:E25"/>
  </mergeCells>
  <conditionalFormatting sqref="F5">
    <cfRule type="dataBar" priority="2">
      <dataBar>
        <cfvo type="num" val="0"/>
        <cfvo type="num" val="1"/>
        <color rgb="FF70AD47"/>
      </dataBar>
    </cfRule>
  </conditionalFormatting>
  <conditionalFormatting sqref="G5">
    <cfRule type="cellIs" priority="1" operator="greaterThan" dxfId="18">
      <formula>0</formula>
    </cfRule>
  </conditionalFormatting>
  <conditionalFormatting sqref="G20:G25">
    <cfRule type="expression" priority="4" dxfId="1">
      <formula>AND(ISNUMBER(G20),G20&lt;0)</formula>
    </cfRule>
    <cfRule type="expression" priority="5" dxfId="4">
      <formula>AND(ISNUMBER(G20),G20&gt;=0,G20&lt;=3)</formula>
    </cfRule>
  </conditionalFormatting>
  <conditionalFormatting sqref="J9:J15">
    <cfRule type="dataBar" priority="3">
      <dataBar>
        <cfvo type="num" val="0"/>
        <cfvo type="num" val="1"/>
        <color rgb="FF70AD47"/>
      </dataBar>
    </cfRule>
  </conditionalFormatting>
  <pageMargins left="0.75" right="0.75" top="1" bottom="1" header="0.5" footer="0.5"/>
  <pageSetup orientation="landscape" fitToHeight="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262626"/>
    <outlinePr summaryBelow="1" summaryRight="1"/>
    <pageSetUpPr fitToPage="1"/>
  </sheetPr>
  <dimension ref="A1:C25"/>
  <sheetViews>
    <sheetView showGridLines="0" workbookViewId="0">
      <selection activeCell="A1" sqref="A1:C1"/>
    </sheetView>
  </sheetViews>
  <sheetFormatPr baseColWidth="8" defaultRowHeight="15"/>
  <cols>
    <col width="26" customWidth="1" style="81" min="1" max="1"/>
    <col width="95" customWidth="1" style="81" min="2" max="2"/>
    <col width="3" customWidth="1" style="81" min="3" max="3"/>
  </cols>
  <sheetData>
    <row r="1" ht="30" customHeight="1" s="81">
      <c r="A1" s="82" t="inlineStr">
        <is>
          <t>How to use this workbook</t>
        </is>
      </c>
    </row>
    <row r="2" ht="28.15" customHeight="1" s="81">
      <c r="A2" s="80" t="inlineStr">
        <is>
          <t>TA Progress Tracker · Engineering Design · Fall 2026</t>
        </is>
      </c>
    </row>
    <row r="4" ht="22.15" customHeight="1" s="81">
      <c r="A4" s="90" t="inlineStr">
        <is>
          <t>Tabs</t>
        </is>
      </c>
    </row>
    <row r="5" ht="30" customHeight="1" s="81">
      <c r="A5" s="21" t="inlineStr">
        <is>
          <t>Dashboard</t>
        </is>
      </c>
      <c r="B5" s="22" t="inlineStr">
        <is>
          <t>Overall progress, days to the key date, overdue tasks, next deadlines, supply cost and dose summary — all formulas.</t>
        </is>
      </c>
    </row>
    <row r="6" ht="30" customHeight="1" s="81">
      <c r="A6" s="21" t="inlineStr">
        <is>
          <t>Task Tracker</t>
        </is>
      </c>
      <c r="B6" s="22" t="inlineStr">
        <is>
          <t>Every task from the previous TA's list + the meeting with Dr. Gomez. Change Status with the drop-down; Days Left / Flag update daily. Filter by Category, Who or Flag.</t>
        </is>
      </c>
    </row>
    <row r="7" ht="30" customHeight="1" s="81">
      <c r="A7" s="21" t="inlineStr">
        <is>
          <t>Supplies &amp; Orders</t>
        </is>
      </c>
      <c r="B7" s="22" t="inlineStr">
        <is>
          <t>Part A: shopping list with Sigma-Aldrich / vendor links, quantities, prices, status. Part B: Na₂S₂O₄ dose to deoxygenate 1 L of water, scaled to the class. Part C: methylene blue stock and dilution.</t>
        </is>
      </c>
    </row>
    <row r="8" ht="30" customHeight="1" s="81">
      <c r="A8" s="21" t="inlineStr">
        <is>
          <t>DO Methods</t>
        </is>
      </c>
      <c r="B8" s="22" t="inlineStr">
        <is>
          <t>Options to measure dissolved oxygen in a closed container (the old DO probe is damaged), scored on the previous TA's criteria with editable weights.</t>
        </is>
      </c>
    </row>
    <row r="9" ht="30" customHeight="1" s="81">
      <c r="A9" s="21" t="inlineStr">
        <is>
          <t>Contacts</t>
        </is>
      </c>
      <c r="B9" s="22" t="inlineStr">
        <is>
          <t>Who to ask for what; open tasks per person are counted automatically.</t>
        </is>
      </c>
    </row>
    <row r="10" ht="30" customHeight="1" s="81">
      <c r="A10" s="21" t="inlineStr">
        <is>
          <t>Meeting Notes</t>
        </is>
      </c>
      <c r="B10" s="22" t="inlineStr">
        <is>
          <t>Log of meetings (the first entry is your meeting with the professor).</t>
        </is>
      </c>
    </row>
    <row r="12" ht="22.15" customHeight="1" s="81">
      <c r="A12" s="90" t="inlineStr">
        <is>
          <t>Color legend</t>
        </is>
      </c>
    </row>
    <row r="13">
      <c r="A13" s="23" t="inlineStr">
        <is>
          <t>Blue text, pale-yellow cell</t>
        </is>
      </c>
      <c r="B13" s="22" t="inlineStr">
        <is>
          <t>Input — type or choose here (status, dates, quantities, prices, calculator inputs, scores, weights).</t>
        </is>
      </c>
    </row>
    <row r="14">
      <c r="A14" s="24" t="inlineStr">
        <is>
          <t>Black text</t>
        </is>
      </c>
      <c r="B14" s="22" t="inlineStr">
        <is>
          <t>Formula — updates automatically; do not type over it.</t>
        </is>
      </c>
    </row>
    <row r="15">
      <c r="A15" s="25" t="inlineStr">
        <is>
          <t>Green result cell</t>
        </is>
      </c>
      <c r="B15" s="22" t="inlineStr">
        <is>
          <t>Key result of a calculation (e.g., grams of Na₂S₂O₄ per 1 L).</t>
        </is>
      </c>
    </row>
    <row r="16">
      <c r="A16" s="25" t="inlineStr">
        <is>
          <t>Strike-through green row</t>
        </is>
      </c>
      <c r="B16" s="22" t="inlineStr">
        <is>
          <t>Task marked Done.</t>
        </is>
      </c>
    </row>
    <row r="17">
      <c r="A17" s="26" t="inlineStr">
        <is>
          <t>Red / yellow flag</t>
        </is>
      </c>
      <c r="B17" s="22" t="inlineStr">
        <is>
          <t>Overdue / due within 3 days.</t>
        </is>
      </c>
    </row>
    <row r="19" ht="22.15" customHeight="1" s="81">
      <c r="A19" s="90" t="inlineStr">
        <is>
          <t>Notes</t>
        </is>
      </c>
    </row>
    <row r="20" ht="30" customHeight="1" s="81">
      <c r="A20" s="109" t="inlineStr">
        <is>
          <t>Key date</t>
        </is>
      </c>
      <c r="B20" s="28" t="inlineStr">
        <is>
          <t>October 1, 2026 comes from the meeting notes ('October 1, under $80, 4 to 5 students per group'). Confirm with Dr. Gomez what is due that day (task T13).</t>
        </is>
      </c>
    </row>
    <row r="21" ht="30" customHeight="1" s="81">
      <c r="A21" s="109" t="inlineStr">
        <is>
          <t>Prices</t>
        </is>
      </c>
      <c r="B21" s="28" t="inlineStr">
        <is>
          <t>Checked on vendor pages on Sep 22, 2026 (hover over a price for its source). Sigma-Aldrich shows TTU prices only after logging in — type the price in the blue cell when you see it. Shipping/tax not included.</t>
        </is>
      </c>
    </row>
    <row r="22" ht="45" customHeight="1" s="81">
      <c r="A22" s="109" t="inlineStr">
        <is>
          <t>Dose calculator</t>
        </is>
      </c>
      <c r="B22" s="28" t="inlineStr">
        <is>
          <t>Assumptions: 1:1 dithionite:O₂, 1.5× excess, 82.5% purity (Sigma 157953 assay), 22 °C water, 976 m elevation. DO saturation uses the USGS/Standard Methods equation with the exact pressure correction; a check table compares it with published values. Pilot-test before class.</t>
        </is>
      </c>
    </row>
    <row r="23" ht="30" customHeight="1" s="81">
      <c r="A23" s="109" t="inlineStr">
        <is>
          <t>DO Methods</t>
        </is>
      </c>
      <c r="B23" s="28" t="inlineStr">
        <is>
          <t>Scores (1–5) are starting suggestions from the research — edit them and the weights; the weighted score and rank recalculate. The previous TA's note says these are initial alternatives, not a final selection.</t>
        </is>
      </c>
    </row>
    <row r="24" ht="30" customHeight="1" s="81">
      <c r="A24" s="109" t="inlineStr">
        <is>
          <t>Tasks</t>
        </is>
      </c>
      <c r="B24" s="28" t="inlineStr">
        <is>
          <t>Rows marked 'Suggested (verify)' are my additions (pilot test, waste containers). Target dates are suggestions — edit them. Ongoing tasks are not counted in the % complete.</t>
        </is>
      </c>
    </row>
    <row r="25" ht="15" customHeight="1" s="81">
      <c r="A25" s="109" t="inlineStr">
        <is>
          <t>Related file</t>
        </is>
      </c>
      <c r="B25" s="28" t="inlineStr">
        <is>
          <t>Student_Roster_and_Quiz1_Grades.xlsx — roster, group assignment and Quiz 1 grades.</t>
        </is>
      </c>
    </row>
  </sheetData>
  <mergeCells count="5">
    <mergeCell ref="A4:B4"/>
    <mergeCell ref="A1:C1"/>
    <mergeCell ref="A19:B19"/>
    <mergeCell ref="A2:C2"/>
    <mergeCell ref="A12:B12"/>
  </mergeCells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tabColor rgb="FF2F5597"/>
    <outlinePr summaryBelow="1" summaryRight="1"/>
    <pageSetUpPr fitToPage="1"/>
  </sheetPr>
  <dimension ref="A1:N80"/>
  <sheetViews>
    <sheetView showGridLines="0" workbookViewId="0">
      <pane xSplit="3" ySplit="4" topLeftCell="D13" activePane="bottomRight" state="frozen"/>
      <selection pane="topRight" activeCell="A1" sqref="A1"/>
      <selection pane="bottomLeft" activeCell="A1" sqref="A1"/>
      <selection pane="bottomRight" activeCell="J16" sqref="J16"/>
    </sheetView>
  </sheetViews>
  <sheetFormatPr baseColWidth="8" defaultRowHeight="15"/>
  <cols>
    <col width="6" customWidth="1" style="81" min="1" max="1"/>
    <col width="20" customWidth="1" style="81" min="2" max="2"/>
    <col width="42" customWidth="1" style="81" min="3" max="3"/>
    <col width="58" customWidth="1" style="81" min="4" max="4"/>
    <col width="18" customWidth="1" style="81" min="5" max="5"/>
    <col width="9" customWidth="1" style="81" min="6" max="6"/>
    <col width="12" customWidth="1" style="81" min="7" max="7"/>
    <col width="13" customWidth="1" style="81" min="8" max="8"/>
    <col width="12" customWidth="1" style="81" min="9" max="9"/>
    <col width="8" customWidth="1" style="81" min="10" max="10"/>
    <col width="11" customWidth="1" style="81" min="11" max="11"/>
    <col width="16" customWidth="1" style="81" min="12" max="12"/>
    <col width="2" customWidth="1" style="81" min="13" max="13"/>
    <col hidden="1" width="13" customWidth="1" style="81" min="14" max="14"/>
  </cols>
  <sheetData>
    <row r="1" ht="30" customHeight="1" s="81">
      <c r="A1" s="82" t="inlineStr">
        <is>
          <t>Task Tracker — Everything I Need To Do</t>
        </is>
      </c>
    </row>
    <row r="2" ht="28.15" customHeight="1" s="81">
      <c r="A2" s="80" t="inlineStr">
        <is>
          <t>Change Status with the drop-down; edit Target dates (blue). Days Left and Flag update every day. Source: previous TA's responsibilities list + meeting with Dr. Gomez + suggestions (marked).</t>
        </is>
      </c>
    </row>
    <row r="4" ht="31.9" customHeight="1" s="81">
      <c r="A4" s="94" t="inlineStr">
        <is>
          <t>ID</t>
        </is>
      </c>
      <c r="B4" s="94" t="inlineStr">
        <is>
          <t>Category</t>
        </is>
      </c>
      <c r="C4" s="94" t="inlineStr">
        <is>
          <t>Task</t>
        </is>
      </c>
      <c r="D4" s="94" t="inlineStr">
        <is>
          <t>Details / Notes</t>
        </is>
      </c>
      <c r="E4" s="94" t="inlineStr">
        <is>
          <t>Who / Contact</t>
        </is>
      </c>
      <c r="F4" s="94" t="inlineStr">
        <is>
          <t>Priority</t>
        </is>
      </c>
      <c r="G4" s="94" t="inlineStr">
        <is>
          <t>Status</t>
        </is>
      </c>
      <c r="H4" s="94" t="inlineStr">
        <is>
          <t>Target Date</t>
        </is>
      </c>
      <c r="I4" s="94" t="inlineStr">
        <is>
          <t>Date Done</t>
        </is>
      </c>
      <c r="J4" s="94" t="inlineStr">
        <is>
          <t>Days Left</t>
        </is>
      </c>
      <c r="K4" s="94" t="inlineStr">
        <is>
          <t>Flag</t>
        </is>
      </c>
      <c r="L4" s="94" t="inlineStr">
        <is>
          <t>Source</t>
        </is>
      </c>
      <c r="N4" s="29" t="inlineStr">
        <is>
          <t>sort key (helper)</t>
        </is>
      </c>
    </row>
    <row r="5" ht="30" customHeight="1" s="81">
      <c r="A5" s="30" t="inlineStr">
        <is>
          <t>T01</t>
        </is>
      </c>
      <c r="B5" s="31" t="inlineStr">
        <is>
          <t>1. TA Requirements</t>
        </is>
      </c>
      <c r="C5" s="32" t="inlineStr">
        <is>
          <t>Complete all required laboratory safety training courses</t>
        </is>
      </c>
      <c r="D5" s="31" t="inlineStr">
        <is>
          <t>Must be done BEFORE participating in any laboratory activity.</t>
        </is>
      </c>
      <c r="E5" s="31" t="inlineStr">
        <is>
          <t>TTU EHS (online training)</t>
        </is>
      </c>
      <c r="F5" s="33" t="inlineStr">
        <is>
          <t>High</t>
        </is>
      </c>
      <c r="G5" s="33" t="inlineStr">
        <is>
          <t>In progress</t>
        </is>
      </c>
      <c r="H5" s="34" t="n">
        <v>46290</v>
      </c>
      <c r="I5" s="34" t="n"/>
      <c r="J5" s="35">
        <f>IF(OR($A5="",G5="Done",G5="Ongoing",H5=""),"",H5-TODAY())</f>
        <v/>
      </c>
      <c r="K5" s="30">
        <f>IF($A5="","",IF(G5="Done","Done",IF(G5="Ongoing","Ongoing",IF(H5="","No date",IF(H5&lt;TODAY(),"Overdue",IF(H5-TODAY()&lt;=3,"Due soon","On track"))))))</f>
        <v/>
      </c>
      <c r="L5" s="36" t="inlineStr">
        <is>
          <t>Previous TA list</t>
        </is>
      </c>
      <c r="N5" s="37">
        <f>IF(OR($A5="",G5="Done",G5="Ongoing",H5=""),"",H5+ROW()/100000)</f>
        <v/>
      </c>
    </row>
    <row r="6" ht="45" customHeight="1" s="81">
      <c r="A6" s="30" t="inlineStr">
        <is>
          <t>T02</t>
        </is>
      </c>
      <c r="B6" s="31" t="inlineStr">
        <is>
          <t>1. TA Requirements</t>
        </is>
      </c>
      <c r="C6" s="32" t="inlineStr">
        <is>
          <t>Keep training current + check for extra training for specific lab facilities/equipment</t>
        </is>
      </c>
      <c r="D6" s="31" t="inlineStr">
        <is>
          <t>Ask whether the lab or any equipment (balances, fume hood, chemical storage) needs its own training.</t>
        </is>
      </c>
      <c r="E6" s="31" t="inlineStr">
        <is>
          <t>Mike Nichols / EHS</t>
        </is>
      </c>
      <c r="F6" s="33" t="inlineStr">
        <is>
          <t>Medium</t>
        </is>
      </c>
      <c r="G6" s="33" t="inlineStr">
        <is>
          <t>Ongoing</t>
        </is>
      </c>
      <c r="H6" s="34" t="n">
        <v>46290</v>
      </c>
      <c r="I6" s="34" t="n"/>
      <c r="J6" s="35">
        <f>IF(OR($A6="",G6="Done",G6="Ongoing",H6=""),"",H6-TODAY())</f>
        <v/>
      </c>
      <c r="K6" s="30">
        <f>IF($A6="","",IF(G6="Done","Done",IF(G6="Ongoing","Ongoing",IF(H6="","No date",IF(H6&lt;TODAY(),"Overdue",IF(H6-TODAY()&lt;=3,"Due soon","On track"))))))</f>
        <v/>
      </c>
      <c r="L6" s="36" t="inlineStr">
        <is>
          <t>Previous TA list</t>
        </is>
      </c>
      <c r="N6" s="37">
        <f>IF(OR($A6="",G6="Done",G6="Ongoing",H6=""),"",H6+ROW()/100000)</f>
        <v/>
      </c>
    </row>
    <row r="7" ht="30" customHeight="1" s="81">
      <c r="A7" s="30" t="inlineStr">
        <is>
          <t>T03</t>
        </is>
      </c>
      <c r="B7" s="31" t="inlineStr">
        <is>
          <t>1. TA Requirements</t>
        </is>
      </c>
      <c r="C7" s="32" t="inlineStr">
        <is>
          <t>Complete FERPA training</t>
        </is>
      </c>
      <c r="D7" s="31" t="inlineStr">
        <is>
          <t>Required to get Canvas access and to perform TA duties (grades).</t>
        </is>
      </c>
      <c r="E7" s="31" t="inlineStr">
        <is>
          <t>TTU (FERPA course)</t>
        </is>
      </c>
      <c r="F7" s="33" t="inlineStr">
        <is>
          <t>High</t>
        </is>
      </c>
      <c r="G7" s="33" t="inlineStr">
        <is>
          <t>Done</t>
        </is>
      </c>
      <c r="H7" s="34" t="n">
        <v>46289</v>
      </c>
      <c r="I7" s="34" t="n"/>
      <c r="J7" s="35">
        <f>IF(OR($A7="",G7="Done",G7="Ongoing",H7=""),"",H7-TODAY())</f>
        <v/>
      </c>
      <c r="K7" s="30">
        <f>IF($A7="","",IF(G7="Done","Done",IF(G7="Ongoing","Ongoing",IF(H7="","No date",IF(H7&lt;TODAY(),"Overdue",IF(H7-TODAY()&lt;=3,"Due soon","On track"))))))</f>
        <v/>
      </c>
      <c r="L7" s="36" t="inlineStr">
        <is>
          <t>Previous TA list</t>
        </is>
      </c>
      <c r="N7" s="37">
        <f>IF(OR($A7="",G7="Done",G7="Ongoing",H7=""),"",H7+ROW()/100000)</f>
        <v/>
      </c>
    </row>
    <row r="8" ht="45" customHeight="1" s="81">
      <c r="A8" s="30" t="inlineStr">
        <is>
          <t>T04</t>
        </is>
      </c>
      <c r="B8" s="31" t="inlineStr">
        <is>
          <t>2. Lab Safety &amp; Access</t>
        </is>
      </c>
      <c r="C8" s="32" t="inlineStr">
        <is>
          <t>Verify student safety equipment with Mike Nichols (lab coats, safety glasses, gloves)</t>
        </is>
      </c>
      <c r="D8" s="31" t="inlineStr">
        <is>
          <t>Lab coats and gloves are already available. Check quantities and condition for ~52 students.</t>
        </is>
      </c>
      <c r="E8" s="31" t="inlineStr">
        <is>
          <t>Mike Nichols</t>
        </is>
      </c>
      <c r="F8" s="33" t="inlineStr">
        <is>
          <t>High</t>
        </is>
      </c>
      <c r="G8" s="33" t="inlineStr">
        <is>
          <t>Done</t>
        </is>
      </c>
      <c r="H8" s="34" t="n">
        <v>46290</v>
      </c>
      <c r="I8" s="34" t="n"/>
      <c r="J8" s="35">
        <f>IF(OR($A8="",G8="Done",G8="Ongoing",H8=""),"",H8-TODAY())</f>
        <v/>
      </c>
      <c r="K8" s="30">
        <f>IF($A8="","",IF(G8="Done","Done",IF(G8="Ongoing","Ongoing",IF(H8="","No date",IF(H8&lt;TODAY(),"Overdue",IF(H8-TODAY()&lt;=3,"Due soon","On track"))))))</f>
        <v/>
      </c>
      <c r="L8" s="36" t="inlineStr">
        <is>
          <t>Previous TA list</t>
        </is>
      </c>
      <c r="N8" s="37">
        <f>IF(OR($A8="",G8="Done",G8="Ongoing",H8=""),"",H8+ROW()/100000)</f>
        <v/>
      </c>
    </row>
    <row r="9" ht="45" customHeight="1" s="81">
      <c r="A9" s="30" t="inlineStr">
        <is>
          <t>T05</t>
        </is>
      </c>
      <c r="B9" s="31" t="inlineStr">
        <is>
          <t>2. Lab Safety &amp; Access</t>
        </is>
      </c>
      <c r="C9" s="32" t="inlineStr">
        <is>
          <t>Follow up: safety-glasses rack/support installed and glasses ready for students</t>
        </is>
      </c>
      <c r="D9" s="31" t="inlineStr">
        <is>
          <t>Safety glasses are pending a support/rack for storage. Once installed, the equipment is ready for student use.</t>
        </is>
      </c>
      <c r="E9" s="31" t="inlineStr">
        <is>
          <t>Mike Nichols</t>
        </is>
      </c>
      <c r="F9" s="33" t="inlineStr">
        <is>
          <t>Medium</t>
        </is>
      </c>
      <c r="G9" s="33" t="inlineStr">
        <is>
          <t>Done</t>
        </is>
      </c>
      <c r="H9" s="34" t="n">
        <v>46295</v>
      </c>
      <c r="I9" s="34" t="n"/>
      <c r="J9" s="35">
        <f>IF(OR($A9="",G9="Done",G9="Ongoing",H9=""),"",H9-TODAY())</f>
        <v/>
      </c>
      <c r="K9" s="30">
        <f>IF($A9="","",IF(G9="Done","Done",IF(G9="Ongoing","Ongoing",IF(H9="","No date",IF(H9&lt;TODAY(),"Overdue",IF(H9-TODAY()&lt;=3,"Due soon","On track"))))))</f>
        <v/>
      </c>
      <c r="L9" s="36" t="inlineStr">
        <is>
          <t>Previous TA list</t>
        </is>
      </c>
      <c r="N9" s="37">
        <f>IF(OR($A9="",G9="Done",G9="Ongoing",H9=""),"",H9+ROW()/100000)</f>
        <v/>
      </c>
    </row>
    <row r="10" ht="30" customHeight="1" s="81">
      <c r="A10" s="30" t="inlineStr">
        <is>
          <t>T06</t>
        </is>
      </c>
      <c r="B10" s="31" t="inlineStr">
        <is>
          <t>2. Lab Safety &amp; Access</t>
        </is>
      </c>
      <c r="C10" s="32" t="inlineStr">
        <is>
          <t>Get lab keys and access</t>
        </is>
      </c>
      <c r="D10" s="31" t="inlineStr">
        <is>
          <t>Coordinate pick-up of keys / card access for the lab.</t>
        </is>
      </c>
      <c r="E10" s="31" t="inlineStr">
        <is>
          <t>Mike Nichols</t>
        </is>
      </c>
      <c r="F10" s="33" t="inlineStr">
        <is>
          <t>High</t>
        </is>
      </c>
      <c r="G10" s="33" t="inlineStr">
        <is>
          <t>In progress</t>
        </is>
      </c>
      <c r="H10" s="34" t="n">
        <v>46290</v>
      </c>
      <c r="I10" s="34" t="n"/>
      <c r="J10" s="35">
        <f>IF(OR($A10="",G10="Done",G10="Ongoing",H10=""),"",H10-TODAY())</f>
        <v/>
      </c>
      <c r="K10" s="30">
        <f>IF($A10="","",IF(G10="Done","Done",IF(G10="Ongoing","Ongoing",IF(H10="","No date",IF(H10&lt;TODAY(),"Overdue",IF(H10-TODAY()&lt;=3,"Due soon","On track"))))))</f>
        <v/>
      </c>
      <c r="L10" s="36" t="inlineStr">
        <is>
          <t>Previous TA list</t>
        </is>
      </c>
      <c r="N10" s="37">
        <f>IF(OR($A10="",G10="Done",G10="Ongoing",H10=""),"",H10+ROW()/100000)</f>
        <v/>
      </c>
    </row>
    <row r="11" ht="30" customHeight="1" s="81">
      <c r="A11" s="30" t="inlineStr">
        <is>
          <t>T07</t>
        </is>
      </c>
      <c r="B11" s="31" t="inlineStr">
        <is>
          <t>3. Supplies &amp; Chemicals</t>
        </is>
      </c>
      <c r="C11" s="32" t="inlineStr">
        <is>
          <t>Ask Dr. Gomez for the FOP (purchasing account) to place orders</t>
        </is>
      </c>
      <c r="D11" s="31" t="inlineStr">
        <is>
          <t>FOP = Fund-Organization-Program account used for TTU purchases. Needed before any order.</t>
        </is>
      </c>
      <c r="E11" s="31" t="inlineStr">
        <is>
          <t>Dr. Gomez</t>
        </is>
      </c>
      <c r="F11" s="33" t="inlineStr">
        <is>
          <t>High</t>
        </is>
      </c>
      <c r="G11" s="33" t="inlineStr">
        <is>
          <t>In progress</t>
        </is>
      </c>
      <c r="H11" s="34" t="n">
        <v>46288</v>
      </c>
      <c r="I11" s="34" t="n"/>
      <c r="J11" s="35">
        <f>IF(OR($A11="",G11="Done",G11="Ongoing",H11=""),"",H11-TODAY())</f>
        <v/>
      </c>
      <c r="K11" s="30">
        <f>IF($A11="","",IF(G11="Done","Done",IF(G11="Ongoing","Ongoing",IF(H11="","No date",IF(H11&lt;TODAY(),"Overdue",IF(H11-TODAY()&lt;=3,"Due soon","On track"))))))</f>
        <v/>
      </c>
      <c r="L11" s="36" t="inlineStr">
        <is>
          <t>Meeting w/ Dr. Gomez</t>
        </is>
      </c>
      <c r="N11" s="37">
        <f>IF(OR($A11="",G11="Done",G11="Ongoing",H11=""),"",H11+ROW()/100000)</f>
        <v/>
      </c>
    </row>
    <row r="12" ht="45" customHeight="1" s="81">
      <c r="A12" s="30" t="inlineStr">
        <is>
          <t>T08</t>
        </is>
      </c>
      <c r="B12" s="31" t="inlineStr">
        <is>
          <t>3. Supplies &amp; Chemicals</t>
        </is>
      </c>
      <c r="C12" s="32" t="inlineStr">
        <is>
          <t>Check with lab personnel which chemicals are already available</t>
        </is>
      </c>
      <c r="D12" s="31" t="inlineStr">
        <is>
          <t>Confirm whether sodium dithionite (Na₂S₂O₄, 'sodium hydrosulfite') and methylene blue are in stock and not expired. Update 'Supplies &amp; Orders' → Status.</t>
        </is>
      </c>
      <c r="E12" s="31" t="inlineStr">
        <is>
          <t>Lab personnel / stockroom</t>
        </is>
      </c>
      <c r="F12" s="33" t="inlineStr">
        <is>
          <t>High</t>
        </is>
      </c>
      <c r="G12" s="33" t="inlineStr">
        <is>
          <t>In progress</t>
        </is>
      </c>
      <c r="H12" s="34" t="n">
        <v>46289</v>
      </c>
      <c r="I12" s="34" t="n"/>
      <c r="J12" s="35">
        <f>IF(OR($A12="",G12="Done",G12="Ongoing",H12=""),"",H12-TODAY())</f>
        <v/>
      </c>
      <c r="K12" s="30">
        <f>IF($A12="","",IF(G12="Done","Done",IF(G12="Ongoing","Ongoing",IF(H12="","No date",IF(H12&lt;TODAY(),"Overdue",IF(H12-TODAY()&lt;=3,"Due soon","On track"))))))</f>
        <v/>
      </c>
      <c r="L12" s="36" t="inlineStr">
        <is>
          <t>Previous TA list</t>
        </is>
      </c>
      <c r="N12" s="37">
        <f>IF(OR($A12="",G12="Done",G12="Ongoing",H12=""),"",H12+ROW()/100000)</f>
        <v/>
      </c>
    </row>
    <row r="13" ht="30" customHeight="1" s="81">
      <c r="A13" s="30" t="inlineStr">
        <is>
          <t>T09</t>
        </is>
      </c>
      <c r="B13" s="31" t="inlineStr">
        <is>
          <t>3. Supplies &amp; Chemicals</t>
        </is>
      </c>
      <c r="C13" s="32" t="inlineStr">
        <is>
          <t>Order sodium dithionite (Na₂S₂O₄) if not in stock</t>
        </is>
      </c>
      <c r="D13" s="31" t="inlineStr">
        <is>
          <t>Sigma-Aldrich — see 'Supplies &amp; Orders' Part A. Amount needed: Part B calculator.</t>
        </is>
      </c>
      <c r="E13" s="31" t="inlineStr">
        <is>
          <t>Dr. Gomez (FOP)</t>
        </is>
      </c>
      <c r="F13" s="33" t="inlineStr">
        <is>
          <t>High</t>
        </is>
      </c>
      <c r="G13" s="33" t="inlineStr">
        <is>
          <t>Not started</t>
        </is>
      </c>
      <c r="H13" s="34" t="n">
        <v>46290</v>
      </c>
      <c r="I13" s="34" t="n"/>
      <c r="J13" s="35">
        <f>IF(OR($A13="",G13="Done",G13="Ongoing",H13=""),"",H13-TODAY())</f>
        <v/>
      </c>
      <c r="K13" s="30">
        <f>IF($A13="","",IF(G13="Done","Done",IF(G13="Ongoing","Ongoing",IF(H13="","No date",IF(H13&lt;TODAY(),"Overdue",IF(H13-TODAY()&lt;=3,"Due soon","On track"))))))</f>
        <v/>
      </c>
      <c r="L13" s="36" t="inlineStr">
        <is>
          <t>Meeting w/ Dr. Gomez</t>
        </is>
      </c>
      <c r="N13" s="37">
        <f>IF(OR($A13="",G13="Done",G13="Ongoing",H13=""),"",H13+ROW()/100000)</f>
        <v/>
      </c>
    </row>
    <row r="14" ht="30" customHeight="1" s="81">
      <c r="A14" s="30" t="inlineStr">
        <is>
          <t>T10</t>
        </is>
      </c>
      <c r="B14" s="31" t="inlineStr">
        <is>
          <t>3. Supplies &amp; Chemicals</t>
        </is>
      </c>
      <c r="C14" s="32" t="inlineStr">
        <is>
          <t>Order methylene blue dye</t>
        </is>
      </c>
      <c r="D14" s="31" t="inlineStr">
        <is>
          <t>Sigma-Aldrich — see 'Supplies &amp; Orders'. Used for the dye-removal half (and possibly as the O₂ color indicator).</t>
        </is>
      </c>
      <c r="E14" s="31" t="inlineStr">
        <is>
          <t>Dr. Gomez (FOP)</t>
        </is>
      </c>
      <c r="F14" s="33" t="inlineStr">
        <is>
          <t>High</t>
        </is>
      </c>
      <c r="G14" s="33" t="inlineStr">
        <is>
          <t>Not started</t>
        </is>
      </c>
      <c r="H14" s="34" t="n">
        <v>46290</v>
      </c>
      <c r="I14" s="34" t="n"/>
      <c r="J14" s="35">
        <f>IF(OR($A14="",G14="Done",G14="Ongoing",H14=""),"",H14-TODAY())</f>
        <v/>
      </c>
      <c r="K14" s="30">
        <f>IF($A14="","",IF(G14="Done","Done",IF(G14="Ongoing","Ongoing",IF(H14="","No date",IF(H14&lt;TODAY(),"Overdue",IF(H14-TODAY()&lt;=3,"Due soon","On track"))))))</f>
        <v/>
      </c>
      <c r="L14" s="36" t="inlineStr">
        <is>
          <t>Meeting w/ Dr. Gomez</t>
        </is>
      </c>
      <c r="N14" s="37">
        <f>IF(OR($A14="",G14="Done",G14="Ongoing",H14=""),"",H14+ROW()/100000)</f>
        <v/>
      </c>
    </row>
    <row r="15" ht="45" customHeight="1" s="81">
      <c r="A15" s="30" t="inlineStr">
        <is>
          <t>T11</t>
        </is>
      </c>
      <c r="B15" s="31" t="inlineStr">
        <is>
          <t>3. Supplies &amp; Chemicals</t>
        </is>
      </c>
      <c r="C15" s="32" t="inlineStr">
        <is>
          <t>Compare ~1 L plastic containers with lids and pick one</t>
        </is>
      </c>
      <c r="D15" s="31" t="inlineStr">
        <is>
          <t>Must fit the experiment (clear walls to see color, tight lid) and the budget. Example vessel from the previous TA: https://a.co/d/0c6b1Ve2</t>
        </is>
      </c>
      <c r="E15" s="31" t="inlineStr">
        <is>
          <t>—</t>
        </is>
      </c>
      <c r="F15" s="33" t="inlineStr">
        <is>
          <t>High</t>
        </is>
      </c>
      <c r="G15" s="33" t="inlineStr">
        <is>
          <t>Not started</t>
        </is>
      </c>
      <c r="H15" s="34" t="n">
        <v>46289</v>
      </c>
      <c r="I15" s="34" t="n"/>
      <c r="J15" s="35">
        <f>IF(OR($A15="",G15="Done",G15="Ongoing",H15=""),"",H15-TODAY())</f>
        <v/>
      </c>
      <c r="K15" s="30">
        <f>IF($A15="","",IF(G15="Done","Done",IF(G15="Ongoing","Ongoing",IF(H15="","No date",IF(H15&lt;TODAY(),"Overdue",IF(H15-TODAY()&lt;=3,"Due soon","On track"))))))</f>
        <v/>
      </c>
      <c r="L15" s="36" t="inlineStr">
        <is>
          <t>Previous TA list</t>
        </is>
      </c>
      <c r="N15" s="37">
        <f>IF(OR($A15="",G15="Done",G15="Ongoing",H15=""),"",H15+ROW()/100000)</f>
        <v/>
      </c>
    </row>
    <row r="16" ht="45" customHeight="1" s="81">
      <c r="A16" s="30" t="inlineStr">
        <is>
          <t>T12</t>
        </is>
      </c>
      <c r="B16" s="31" t="inlineStr">
        <is>
          <t>3. Supplies &amp; Chemicals</t>
        </is>
      </c>
      <c r="C16" s="32" t="inlineStr">
        <is>
          <t>Buy the plastic containers with lids (500 mL–1 L, cheap)</t>
        </is>
      </c>
      <c r="D16" s="31" t="inlineStr">
        <is>
          <t>Meeting said 11 (likely one per group for the whole class: 52 students ÷ 5 → 11 groups); previous TA planned 12 (11 + 1 spare).</t>
        </is>
      </c>
      <c r="E16" s="31" t="inlineStr">
        <is>
          <t>Dr. Gomez (FOP)</t>
        </is>
      </c>
      <c r="F16" s="33" t="inlineStr">
        <is>
          <t>High</t>
        </is>
      </c>
      <c r="G16" s="33" t="inlineStr">
        <is>
          <t>Not started</t>
        </is>
      </c>
      <c r="H16" s="34" t="n">
        <v>46290</v>
      </c>
      <c r="I16" s="34" t="n"/>
      <c r="J16" s="35">
        <f>IF(OR($A16="",G16="Done",G16="Ongoing",H16=""),"",H16-TODAY())</f>
        <v/>
      </c>
      <c r="K16" s="30">
        <f>IF($A16="","",IF(G16="Done","Done",IF(G16="Ongoing","Ongoing",IF(H16="","No date",IF(H16&lt;TODAY(),"Overdue",IF(H16-TODAY()&lt;=3,"Due soon","On track"))))))</f>
        <v/>
      </c>
      <c r="L16" s="36" t="inlineStr">
        <is>
          <t>Meeting w/ Dr. Gomez</t>
        </is>
      </c>
      <c r="N16" s="37">
        <f>IF(OR($A16="",G16="Done",G16="Ongoing",H16=""),"",H16+ROW()/100000)</f>
        <v/>
      </c>
    </row>
    <row r="17" ht="45" customHeight="1" s="81">
      <c r="A17" s="30" t="inlineStr">
        <is>
          <t>T13</t>
        </is>
      </c>
      <c r="B17" s="31" t="inlineStr">
        <is>
          <t>3. Supplies &amp; Chemicals</t>
        </is>
      </c>
      <c r="C17" s="32" t="inlineStr">
        <is>
          <t>Clarify what is due Oct 1 and what the 'under $80' limit applies to</t>
        </is>
      </c>
      <c r="D17" s="31" t="inlineStr">
        <is>
          <t>From the meeting: 'October 1, under $80 (4 to 5 students per group)'. Confirm with Dr. Gomez whether $80 is per group (student prototype budget) and tell the students.</t>
        </is>
      </c>
      <c r="E17" s="31" t="inlineStr">
        <is>
          <t>Dr. Gomez</t>
        </is>
      </c>
      <c r="F17" s="33" t="inlineStr">
        <is>
          <t>High</t>
        </is>
      </c>
      <c r="G17" s="33" t="inlineStr">
        <is>
          <t>In progress</t>
        </is>
      </c>
      <c r="H17" s="34" t="n">
        <v>46289</v>
      </c>
      <c r="I17" s="34" t="n"/>
      <c r="J17" s="35">
        <f>IF(OR($A17="",G17="Done",G17="Ongoing",H17=""),"",H17-TODAY())</f>
        <v/>
      </c>
      <c r="K17" s="30">
        <f>IF($A17="","",IF(G17="Done","Done",IF(G17="Ongoing","Ongoing",IF(H17="","No date",IF(H17&lt;TODAY(),"Overdue",IF(H17-TODAY()&lt;=3,"Due soon","On track"))))))</f>
        <v/>
      </c>
      <c r="L17" s="36" t="inlineStr">
        <is>
          <t>Meeting w/ Dr. Gomez</t>
        </is>
      </c>
      <c r="N17" s="37">
        <f>IF(OR($A17="",G17="Done",G17="Ongoing",H17=""),"",H17+ROW()/100000)</f>
        <v/>
      </c>
    </row>
    <row r="18" ht="45" customHeight="1" s="81">
      <c r="A18" s="30" t="inlineStr">
        <is>
          <t>T14</t>
        </is>
      </c>
      <c r="B18" s="31" t="inlineStr">
        <is>
          <t>4. DO Measurement Method</t>
        </is>
      </c>
      <c r="C18" s="32" t="inlineStr">
        <is>
          <t>Investigate DO measurement methods for a closed container</t>
        </is>
      </c>
      <c r="D18" s="31" t="inlineStr">
        <is>
          <t>The traditional DO probe is damaged. Start with optical sensor spots, colorimetric methods and Winkler titration — see 'DO Methods' tab.</t>
        </is>
      </c>
      <c r="E18" s="31" t="inlineStr">
        <is>
          <t>—</t>
        </is>
      </c>
      <c r="F18" s="33" t="inlineStr">
        <is>
          <t>High</t>
        </is>
      </c>
      <c r="G18" s="33" t="inlineStr">
        <is>
          <t>In progress</t>
        </is>
      </c>
      <c r="H18" s="34" t="n">
        <v>46291</v>
      </c>
      <c r="I18" s="34" t="n"/>
      <c r="J18" s="35">
        <f>IF(OR($A18="",G18="Done",G18="Ongoing",H18=""),"",H18-TODAY())</f>
        <v/>
      </c>
      <c r="K18" s="30">
        <f>IF($A18="","",IF(G18="Done","Done",IF(G18="Ongoing","Ongoing",IF(H18="","No date",IF(H18&lt;TODAY(),"Overdue",IF(H18-TODAY()&lt;=3,"Due soon","On track"))))))</f>
        <v/>
      </c>
      <c r="L18" s="36" t="inlineStr">
        <is>
          <t>Previous TA list</t>
        </is>
      </c>
      <c r="N18" s="37">
        <f>IF(OR($A18="",G18="Done",G18="Ongoing",H18=""),"",H18+ROW()/100000)</f>
        <v/>
      </c>
    </row>
    <row r="19" ht="45" customHeight="1" s="81">
      <c r="A19" s="30" t="inlineStr">
        <is>
          <t>T15</t>
        </is>
      </c>
      <c r="B19" s="31" t="inlineStr">
        <is>
          <t>4. DO Measurement Method</t>
        </is>
      </c>
      <c r="C19" s="32" t="inlineStr">
        <is>
          <t>Score the alternatives and choose a method</t>
        </is>
      </c>
      <c r="D19" s="31" t="inlineStr">
        <is>
          <t>Criteria: time (~2 min), closed system, opening/penetration of container, accuracy, ease of use, equipment availability, cost. These are starting alternatives, not a final choice.</t>
        </is>
      </c>
      <c r="E19" s="31" t="inlineStr">
        <is>
          <t>Dr. Gomez</t>
        </is>
      </c>
      <c r="F19" s="33" t="inlineStr">
        <is>
          <t>High</t>
        </is>
      </c>
      <c r="G19" s="33" t="inlineStr">
        <is>
          <t>In progress</t>
        </is>
      </c>
      <c r="H19" s="34" t="n">
        <v>46293</v>
      </c>
      <c r="I19" s="34" t="n"/>
      <c r="J19" s="35">
        <f>IF(OR($A19="",G19="Done",G19="Ongoing",H19=""),"",H19-TODAY())</f>
        <v/>
      </c>
      <c r="K19" s="30">
        <f>IF($A19="","",IF(G19="Done","Done",IF(G19="Ongoing","Ongoing",IF(H19="","No date",IF(H19&lt;TODAY(),"Overdue",IF(H19-TODAY()&lt;=3,"Due soon","On track"))))))</f>
        <v/>
      </c>
      <c r="L19" s="36" t="inlineStr">
        <is>
          <t>Previous TA list</t>
        </is>
      </c>
      <c r="N19" s="37">
        <f>IF(OR($A19="",G19="Done",G19="Ongoing",H19=""),"",H19+ROW()/100000)</f>
        <v/>
      </c>
    </row>
    <row r="20" ht="45" customHeight="1" s="81">
      <c r="A20" s="30" t="inlineStr">
        <is>
          <t>T16</t>
        </is>
      </c>
      <c r="B20" s="31" t="inlineStr">
        <is>
          <t>4. DO Measurement Method</t>
        </is>
      </c>
      <c r="C20" s="32" t="inlineStr">
        <is>
          <t>Test the color-indicator idea (methylene blue + Na₂S₂O₄)</t>
        </is>
      </c>
      <c r="D20" s="31" t="inlineStr">
        <is>
          <t>From the meeting: 'some sort of buffer that changes color with O₂'. Dithionite turns methylene blue colorless; it turns blue again as O₂ diffuses back in.</t>
        </is>
      </c>
      <c r="E20" s="31" t="inlineStr">
        <is>
          <t>—</t>
        </is>
      </c>
      <c r="F20" s="33" t="inlineStr">
        <is>
          <t>Medium</t>
        </is>
      </c>
      <c r="G20" s="33" t="inlineStr">
        <is>
          <t>Not started</t>
        </is>
      </c>
      <c r="H20" s="34" t="n">
        <v>46294</v>
      </c>
      <c r="I20" s="34" t="n"/>
      <c r="J20" s="35">
        <f>IF(OR($A20="",G20="Done",G20="Ongoing",H20=""),"",H20-TODAY())</f>
        <v/>
      </c>
      <c r="K20" s="30">
        <f>IF($A20="","",IF(G20="Done","Done",IF(G20="Ongoing","Ongoing",IF(H20="","No date",IF(H20&lt;TODAY(),"Overdue",IF(H20-TODAY()&lt;=3,"Due soon","On track"))))))</f>
        <v/>
      </c>
      <c r="L20" s="36" t="inlineStr">
        <is>
          <t>Meeting w/ Dr. Gomez</t>
        </is>
      </c>
      <c r="N20" s="37">
        <f>IF(OR($A20="",G20="Done",G20="Ongoing",H20=""),"",H20+ROW()/100000)</f>
        <v/>
      </c>
    </row>
    <row r="21" ht="60" customHeight="1" s="81">
      <c r="A21" s="30" t="inlineStr">
        <is>
          <t>T17</t>
        </is>
      </c>
      <c r="B21" s="31" t="inlineStr">
        <is>
          <t>4. DO Measurement Method</t>
        </is>
      </c>
      <c r="C21" s="32" t="inlineStr">
        <is>
          <t>Pilot-test the full oxygen-diffusion setup before class</t>
        </is>
      </c>
      <c r="D21" s="31" t="inlineStr">
        <is>
          <t>Deoxygenate 1 L with the dose from Part B, seal, and measure DO over time. Expect a lag while leftover dithionite is used up (Part B, row V). Adjust the excess factor if the water re-oxygenates too fast or too slowly.</t>
        </is>
      </c>
      <c r="E21" s="31" t="inlineStr">
        <is>
          <t>—</t>
        </is>
      </c>
      <c r="F21" s="33" t="inlineStr">
        <is>
          <t>High</t>
        </is>
      </c>
      <c r="G21" s="33" t="inlineStr">
        <is>
          <t>Not started</t>
        </is>
      </c>
      <c r="H21" s="34" t="n">
        <v>46295</v>
      </c>
      <c r="I21" s="34" t="n"/>
      <c r="J21" s="35">
        <f>IF(OR($A21="",G21="Done",G21="Ongoing",H21=""),"",H21-TODAY())</f>
        <v/>
      </c>
      <c r="K21" s="30">
        <f>IF($A21="","",IF(G21="Done","Done",IF(G21="Ongoing","Ongoing",IF(H21="","No date",IF(H21&lt;TODAY(),"Overdue",IF(H21-TODAY()&lt;=3,"Due soon","On track"))))))</f>
        <v/>
      </c>
      <c r="L21" s="36" t="inlineStr">
        <is>
          <t>Suggested (verify)</t>
        </is>
      </c>
      <c r="N21" s="37">
        <f>IF(OR($A21="",G21="Done",G21="Ongoing",H21=""),"",H21+ROW()/100000)</f>
        <v/>
      </c>
    </row>
    <row r="22" ht="30" customHeight="1" s="81">
      <c r="A22" s="30" t="inlineStr">
        <is>
          <t>T18</t>
        </is>
      </c>
      <c r="B22" s="31" t="inlineStr">
        <is>
          <t>5. Lab &amp; Project Setup</t>
        </is>
      </c>
      <c r="C22" s="32" t="inlineStr">
        <is>
          <t>Support laboratory preparation before student activities begin</t>
        </is>
      </c>
      <c r="D22" s="31" t="inlineStr">
        <is>
          <t>Benches, glassware, labels, balance, deionized water.</t>
        </is>
      </c>
      <c r="E22" s="31" t="inlineStr">
        <is>
          <t>Mike Nichols</t>
        </is>
      </c>
      <c r="F22" s="33" t="inlineStr">
        <is>
          <t>Medium</t>
        </is>
      </c>
      <c r="G22" s="33" t="inlineStr">
        <is>
          <t>Not started</t>
        </is>
      </c>
      <c r="H22" s="34" t="n">
        <v>46295</v>
      </c>
      <c r="I22" s="34" t="n"/>
      <c r="J22" s="35">
        <f>IF(OR($A22="",G22="Done",G22="Ongoing",H22=""),"",H22-TODAY())</f>
        <v/>
      </c>
      <c r="K22" s="30">
        <f>IF($A22="","",IF(G22="Done","Done",IF(G22="Ongoing","Ongoing",IF(H22="","No date",IF(H22&lt;TODAY(),"Overdue",IF(H22-TODAY()&lt;=3,"Due soon","On track"))))))</f>
        <v/>
      </c>
      <c r="L22" s="36" t="inlineStr">
        <is>
          <t>Previous TA list</t>
        </is>
      </c>
      <c r="N22" s="37">
        <f>IF(OR($A22="",G22="Done",G22="Ongoing",H22=""),"",H22+ROW()/100000)</f>
        <v/>
      </c>
    </row>
    <row r="23" ht="30" customHeight="1" s="81">
      <c r="A23" s="30" t="inlineStr">
        <is>
          <t>T19</t>
        </is>
      </c>
      <c r="B23" s="31" t="inlineStr">
        <is>
          <t>5. Lab &amp; Project Setup</t>
        </is>
      </c>
      <c r="C23" s="32" t="inlineStr">
        <is>
          <t>Disassemble previous years' water-treatment prototypes</t>
        </is>
      </c>
      <c r="D23" s="31" t="inlineStr">
        <is>
          <t>Remove components so students cannot simply reuse or copy earlier designs.</t>
        </is>
      </c>
      <c r="E23" s="31" t="inlineStr">
        <is>
          <t>—</t>
        </is>
      </c>
      <c r="F23" s="33" t="inlineStr">
        <is>
          <t>Medium</t>
        </is>
      </c>
      <c r="G23" s="33" t="inlineStr">
        <is>
          <t>Not started</t>
        </is>
      </c>
      <c r="H23" s="34" t="n">
        <v>46295</v>
      </c>
      <c r="I23" s="34" t="n"/>
      <c r="J23" s="35">
        <f>IF(OR($A23="",G23="Done",G23="Ongoing",H23=""),"",H23-TODAY())</f>
        <v/>
      </c>
      <c r="K23" s="30">
        <f>IF($A23="","",IF(G23="Done","Done",IF(G23="Ongoing","Ongoing",IF(H23="","No date",IF(H23&lt;TODAY(),"Overdue",IF(H23-TODAY()&lt;=3,"Due soon","On track"))))))</f>
        <v/>
      </c>
      <c r="L23" s="36" t="inlineStr">
        <is>
          <t>Previous TA list</t>
        </is>
      </c>
      <c r="N23" s="37">
        <f>IF(OR($A23="",G23="Done",G23="Ongoing",H23=""),"",H23+ROW()/100000)</f>
        <v/>
      </c>
    </row>
    <row r="24" ht="45" customHeight="1" s="81">
      <c r="A24" s="30" t="inlineStr">
        <is>
          <t>T20</t>
        </is>
      </c>
      <c r="B24" s="31" t="inlineStr">
        <is>
          <t>5. Lab &amp; Project Setup</t>
        </is>
      </c>
      <c r="C24" s="32" t="inlineStr">
        <is>
          <t>Confirm the project split and form groups</t>
        </is>
      </c>
      <c r="D24" s="31" t="inlineStr">
        <is>
          <t>Half the class: methylene blue removal; other half: oxygenation. 4–5 students per group. Use the Roster tab in the gradebook to assign groups.</t>
        </is>
      </c>
      <c r="E24" s="31" t="inlineStr">
        <is>
          <t>Dr. Gomez</t>
        </is>
      </c>
      <c r="F24" s="33" t="inlineStr">
        <is>
          <t>High</t>
        </is>
      </c>
      <c r="G24" s="33" t="inlineStr">
        <is>
          <t>Not started</t>
        </is>
      </c>
      <c r="H24" s="34" t="n">
        <v>46290</v>
      </c>
      <c r="I24" s="34" t="n"/>
      <c r="J24" s="35">
        <f>IF(OR($A24="",G24="Done",G24="Ongoing",H24=""),"",H24-TODAY())</f>
        <v/>
      </c>
      <c r="K24" s="30">
        <f>IF($A24="","",IF(G24="Done","Done",IF(G24="Ongoing","Ongoing",IF(H24="","No date",IF(H24&lt;TODAY(),"Overdue",IF(H24-TODAY()&lt;=3,"Due soon","On track"))))))</f>
        <v/>
      </c>
      <c r="L24" s="36" t="inlineStr">
        <is>
          <t>Meeting w/ Dr. Gomez</t>
        </is>
      </c>
      <c r="N24" s="37">
        <f>IF(OR($A24="",G24="Done",G24="Ongoing",H24=""),"",H24+ROW()/100000)</f>
        <v/>
      </c>
    </row>
    <row r="25" ht="30" customHeight="1" s="81">
      <c r="A25" s="30" t="inlineStr">
        <is>
          <t>T21</t>
        </is>
      </c>
      <c r="B25" s="31" t="inlineStr">
        <is>
          <t>5. Lab &amp; Project Setup</t>
        </is>
      </c>
      <c r="C25" s="32" t="inlineStr">
        <is>
          <t>Prepare methylene blue stock solution for the dye-removal groups</t>
        </is>
      </c>
      <c r="D25" s="31" t="inlineStr">
        <is>
          <t>Weigh and dilute per 'Supplies &amp; Orders' Part C.</t>
        </is>
      </c>
      <c r="E25" s="31" t="inlineStr">
        <is>
          <t>—</t>
        </is>
      </c>
      <c r="F25" s="33" t="inlineStr">
        <is>
          <t>Medium</t>
        </is>
      </c>
      <c r="G25" s="33" t="inlineStr">
        <is>
          <t>Not started</t>
        </is>
      </c>
      <c r="H25" s="34" t="n">
        <v>46295</v>
      </c>
      <c r="I25" s="34" t="n"/>
      <c r="J25" s="35">
        <f>IF(OR($A25="",G25="Done",G25="Ongoing",H25=""),"",H25-TODAY())</f>
        <v/>
      </c>
      <c r="K25" s="30">
        <f>IF($A25="","",IF(G25="Done","Done",IF(G25="Ongoing","Ongoing",IF(H25="","No date",IF(H25&lt;TODAY(),"Overdue",IF(H25-TODAY()&lt;=3,"Due soon","On track"))))))</f>
        <v/>
      </c>
      <c r="L25" s="36" t="inlineStr">
        <is>
          <t>Suggested (verify)</t>
        </is>
      </c>
      <c r="N25" s="37">
        <f>IF(OR($A25="",G25="Done",G25="Ongoing",H25=""),"",H25+ROW()/100000)</f>
        <v/>
      </c>
    </row>
    <row r="26" ht="60" customHeight="1" s="81">
      <c r="A26" s="30" t="inlineStr">
        <is>
          <t>T22</t>
        </is>
      </c>
      <c r="B26" s="31" t="inlineStr">
        <is>
          <t>5. Lab &amp; Project Setup</t>
        </is>
      </c>
      <c r="C26" s="32" t="inlineStr">
        <is>
          <t>Get the SDS sheets and set up labeled waste containers</t>
        </is>
      </c>
      <c r="D26" s="31" t="inlineStr">
        <is>
          <t>Download the Safety Data Sheets for Na₂S₂O₄ (Sigma 157953) and methylene blue (Sigma 66720) and keep them in the lab. Ask the lab / EHS how dye and sulfite-containing waste must be collected.</t>
        </is>
      </c>
      <c r="E26" s="31" t="inlineStr">
        <is>
          <t>Lab personnel / stockroom</t>
        </is>
      </c>
      <c r="F26" s="33" t="inlineStr">
        <is>
          <t>Medium</t>
        </is>
      </c>
      <c r="G26" s="33" t="inlineStr">
        <is>
          <t>Not started</t>
        </is>
      </c>
      <c r="H26" s="34" t="n">
        <v>46295</v>
      </c>
      <c r="I26" s="34" t="n"/>
      <c r="J26" s="35">
        <f>IF(OR($A26="",G26="Done",G26="Ongoing",H26=""),"",H26-TODAY())</f>
        <v/>
      </c>
      <c r="K26" s="30">
        <f>IF($A26="","",IF(G26="Done","Done",IF(G26="Ongoing","Ongoing",IF(H26="","No date",IF(H26&lt;TODAY(),"Overdue",IF(H26-TODAY()&lt;=3,"Due soon","On track"))))))</f>
        <v/>
      </c>
      <c r="L26" s="36" t="inlineStr">
        <is>
          <t>Suggested (verify)</t>
        </is>
      </c>
      <c r="N26" s="37">
        <f>IF(OR($A26="",G26="Done",G26="Ongoing",H26=""),"",H26+ROW()/100000)</f>
        <v/>
      </c>
    </row>
    <row r="27" ht="30" customHeight="1" s="81">
      <c r="A27" s="30" t="inlineStr">
        <is>
          <t>T23</t>
        </is>
      </c>
      <c r="B27" s="31" t="inlineStr">
        <is>
          <t>6. Academic &amp; Assessment</t>
        </is>
      </c>
      <c r="C27" s="32" t="inlineStr">
        <is>
          <t>Ask Luis about the quiz</t>
        </is>
      </c>
      <c r="D27" s="31" t="inlineStr">
        <is>
          <t>Grading criteria / rubric for Quiz 1 and how to handle the two students with no scores.</t>
        </is>
      </c>
      <c r="E27" s="31" t="inlineStr">
        <is>
          <t>Luis</t>
        </is>
      </c>
      <c r="F27" s="33" t="inlineStr">
        <is>
          <t>High</t>
        </is>
      </c>
      <c r="G27" s="33" t="inlineStr">
        <is>
          <t>Done</t>
        </is>
      </c>
      <c r="H27" s="34" t="n">
        <v>46288</v>
      </c>
      <c r="I27" s="34" t="n"/>
      <c r="J27" s="35">
        <f>IF(OR($A27="",G27="Done",G27="Ongoing",H27=""),"",H27-TODAY())</f>
        <v/>
      </c>
      <c r="K27" s="30">
        <f>IF($A27="","",IF(G27="Done","Done",IF(G27="Ongoing","Ongoing",IF(H27="","No date",IF(H27&lt;TODAY(),"Overdue",IF(H27-TODAY()&lt;=3,"Due soon","On track"))))))</f>
        <v/>
      </c>
      <c r="L27" s="36" t="inlineStr">
        <is>
          <t>Meeting w/ Dr. Gomez</t>
        </is>
      </c>
      <c r="N27" s="37">
        <f>IF(OR($A27="",G27="Done",G27="Ongoing",H27=""),"",H27+ROW()/100000)</f>
        <v/>
      </c>
    </row>
    <row r="28" ht="30" customHeight="1" s="81">
      <c r="A28" s="30" t="inlineStr">
        <is>
          <t>T24</t>
        </is>
      </c>
      <c r="B28" s="31" t="inlineStr">
        <is>
          <t>6. Academic &amp; Assessment</t>
        </is>
      </c>
      <c r="C28" s="32" t="inlineStr">
        <is>
          <t>Ask Luva to talk with Luis</t>
        </is>
      </c>
      <c r="D28" s="31" t="inlineStr">
        <is>
          <t>From the meeting notes.</t>
        </is>
      </c>
      <c r="E28" s="31" t="inlineStr">
        <is>
          <t>Luva</t>
        </is>
      </c>
      <c r="F28" s="33" t="inlineStr">
        <is>
          <t>Medium</t>
        </is>
      </c>
      <c r="G28" s="33" t="inlineStr">
        <is>
          <t>Done</t>
        </is>
      </c>
      <c r="H28" s="34" t="n">
        <v>46288</v>
      </c>
      <c r="I28" s="34" t="n"/>
      <c r="J28" s="35">
        <f>IF(OR($A28="",G28="Done",G28="Ongoing",H28=""),"",H28-TODAY())</f>
        <v/>
      </c>
      <c r="K28" s="30">
        <f>IF($A28="","",IF(G28="Done","Done",IF(G28="Ongoing","Ongoing",IF(H28="","No date",IF(H28&lt;TODAY(),"Overdue",IF(H28-TODAY()&lt;=3,"Due soon","On track"))))))</f>
        <v/>
      </c>
      <c r="L28" s="36" t="inlineStr">
        <is>
          <t>Meeting w/ Dr. Gomez</t>
        </is>
      </c>
      <c r="N28" s="37">
        <f>IF(OR($A28="",G28="Done",G28="Ongoing",H28=""),"",H28+ROW()/100000)</f>
        <v/>
      </c>
    </row>
    <row r="29" ht="30" customHeight="1" s="81">
      <c r="A29" s="30" t="inlineStr">
        <is>
          <t>T25</t>
        </is>
      </c>
      <c r="B29" s="31" t="inlineStr">
        <is>
          <t>6. Academic &amp; Assessment</t>
        </is>
      </c>
      <c r="C29" s="32" t="inlineStr">
        <is>
          <t>Finish grading Quiz 1 per the instructor's criteria</t>
        </is>
      </c>
      <c r="D29" s="31" t="inlineStr">
        <is>
          <t>50 of 52 students graded. Missing: Gavin Cappel, Michelle Gutierrez. See Student_Roster_and_Quiz1_Grades.xlsx.</t>
        </is>
      </c>
      <c r="E29" s="31" t="inlineStr">
        <is>
          <t>Luis</t>
        </is>
      </c>
      <c r="F29" s="33" t="inlineStr">
        <is>
          <t>High</t>
        </is>
      </c>
      <c r="G29" s="33" t="inlineStr">
        <is>
          <t>Done</t>
        </is>
      </c>
      <c r="H29" s="34" t="n">
        <v>46290</v>
      </c>
      <c r="I29" s="34" t="n"/>
      <c r="J29" s="35">
        <f>IF(OR($A29="",G29="Done",G29="Ongoing",H29=""),"",H29-TODAY())</f>
        <v/>
      </c>
      <c r="K29" s="30">
        <f>IF($A29="","",IF(G29="Done","Done",IF(G29="Ongoing","Ongoing",IF(H29="","No date",IF(H29&lt;TODAY(),"Overdue",IF(H29-TODAY()&lt;=3,"Due soon","On track"))))))</f>
        <v/>
      </c>
      <c r="L29" s="36" t="inlineStr">
        <is>
          <t>Previous TA list</t>
        </is>
      </c>
      <c r="N29" s="37">
        <f>IF(OR($A29="",G29="Done",G29="Ongoing",H29=""),"",H29+ROW()/100000)</f>
        <v/>
      </c>
    </row>
    <row r="30" ht="30" customHeight="1" s="81">
      <c r="A30" s="30" t="inlineStr">
        <is>
          <t>T26</t>
        </is>
      </c>
      <c r="B30" s="31" t="inlineStr">
        <is>
          <t>6. Academic &amp; Assessment</t>
        </is>
      </c>
      <c r="C30" s="32" t="inlineStr">
        <is>
          <t>Support administration &amp; supervision of quizzes and assessments</t>
        </is>
      </c>
      <c r="D30" s="31" t="inlineStr">
        <is>
          <t>As assigned by the instructors.</t>
        </is>
      </c>
      <c r="E30" s="31" t="inlineStr">
        <is>
          <t>Dr. Gomez</t>
        </is>
      </c>
      <c r="F30" s="33" t="inlineStr">
        <is>
          <t>Medium</t>
        </is>
      </c>
      <c r="G30" s="33" t="inlineStr">
        <is>
          <t>Ongoing</t>
        </is>
      </c>
      <c r="H30" s="34" t="n"/>
      <c r="I30" s="34" t="n"/>
      <c r="J30" s="35">
        <f>IF(OR($A30="",G30="Done",G30="Ongoing",H30=""),"",H30-TODAY())</f>
        <v/>
      </c>
      <c r="K30" s="30">
        <f>IF($A30="","",IF(G30="Done","Done",IF(G30="Ongoing","Ongoing",IF(H30="","No date",IF(H30&lt;TODAY(),"Overdue",IF(H30-TODAY()&lt;=3,"Due soon","On track"))))))</f>
        <v/>
      </c>
      <c r="L30" s="36" t="inlineStr">
        <is>
          <t>Previous TA list</t>
        </is>
      </c>
      <c r="N30" s="37">
        <f>IF(OR($A30="",G30="Done",G30="Ongoing",H30=""),"",H30+ROW()/100000)</f>
        <v/>
      </c>
    </row>
    <row r="31" ht="30" customHeight="1" s="81">
      <c r="A31" s="30" t="inlineStr">
        <is>
          <t>T27</t>
        </is>
      </c>
      <c r="B31" s="31" t="inlineStr">
        <is>
          <t>6. Academic &amp; Assessment</t>
        </is>
      </c>
      <c r="C31" s="32" t="inlineStr">
        <is>
          <t>Support students during projects</t>
        </is>
      </c>
      <c r="D31" s="31" t="inlineStr">
        <is>
          <t>Clarify procedures and questions within the scope of the TA role.</t>
        </is>
      </c>
      <c r="E31" s="31" t="inlineStr">
        <is>
          <t>—</t>
        </is>
      </c>
      <c r="F31" s="33" t="inlineStr">
        <is>
          <t>Medium</t>
        </is>
      </c>
      <c r="G31" s="33" t="inlineStr">
        <is>
          <t>Ongoing</t>
        </is>
      </c>
      <c r="H31" s="34" t="n"/>
      <c r="I31" s="34" t="n"/>
      <c r="J31" s="35">
        <f>IF(OR($A31="",G31="Done",G31="Ongoing",H31=""),"",H31-TODAY())</f>
        <v/>
      </c>
      <c r="K31" s="30">
        <f>IF($A31="","",IF(G31="Done","Done",IF(G31="Ongoing","Ongoing",IF(H31="","No date",IF(H31&lt;TODAY(),"Overdue",IF(H31-TODAY()&lt;=3,"Due soon","On track"))))))</f>
        <v/>
      </c>
      <c r="L31" s="36" t="inlineStr">
        <is>
          <t>Previous TA list</t>
        </is>
      </c>
      <c r="N31" s="37">
        <f>IF(OR($A31="",G31="Done",G31="Ongoing",H31=""),"",H31+ROW()/100000)</f>
        <v/>
      </c>
    </row>
    <row r="32" ht="30" customHeight="1" s="81">
      <c r="A32" s="30" t="inlineStr">
        <is>
          <t>T28</t>
        </is>
      </c>
      <c r="B32" s="31" t="inlineStr">
        <is>
          <t>6. Academic &amp; Assessment</t>
        </is>
      </c>
      <c r="C32" s="32" t="inlineStr">
        <is>
          <t>Keep instructors updated on progress, difficulties and team needs</t>
        </is>
      </c>
      <c r="D32" s="31" t="inlineStr">
        <is>
          <t>Short weekly update (this Dashboard can help).</t>
        </is>
      </c>
      <c r="E32" s="31" t="inlineStr">
        <is>
          <t>Dr. Gomez</t>
        </is>
      </c>
      <c r="F32" s="33" t="inlineStr">
        <is>
          <t>Medium</t>
        </is>
      </c>
      <c r="G32" s="33" t="inlineStr">
        <is>
          <t>Ongoing</t>
        </is>
      </c>
      <c r="H32" s="34" t="n"/>
      <c r="I32" s="34" t="n"/>
      <c r="J32" s="35">
        <f>IF(OR($A32="",G32="Done",G32="Ongoing",H32=""),"",H32-TODAY())</f>
        <v/>
      </c>
      <c r="K32" s="30">
        <f>IF($A32="","",IF(G32="Done","Done",IF(G32="Ongoing","Ongoing",IF(H32="","No date",IF(H32&lt;TODAY(),"Overdue",IF(H32-TODAY()&lt;=3,"Due soon","On track"))))))</f>
        <v/>
      </c>
      <c r="L32" s="36" t="inlineStr">
        <is>
          <t>Previous TA list</t>
        </is>
      </c>
      <c r="N32" s="37">
        <f>IF(OR($A32="",G32="Done",G32="Ongoing",H32=""),"",H32+ROW()/100000)</f>
        <v/>
      </c>
    </row>
    <row r="33" ht="30" customHeight="1" s="81">
      <c r="A33" s="30" t="inlineStr">
        <is>
          <t>T29</t>
        </is>
      </c>
      <c r="B33" s="31" t="inlineStr">
        <is>
          <t>7. Student Project Guidance</t>
        </is>
      </c>
      <c r="C33" s="32" t="inlineStr">
        <is>
          <t>Ask each group for design alternatives with pros and cons</t>
        </is>
      </c>
      <c r="D33" s="31" t="inlineStr">
        <is>
          <t>Advantages / disadvantages of the different design alternatives.</t>
        </is>
      </c>
      <c r="E33" s="31" t="inlineStr">
        <is>
          <t>Student groups</t>
        </is>
      </c>
      <c r="F33" s="33" t="inlineStr">
        <is>
          <t>Medium</t>
        </is>
      </c>
      <c r="G33" s="33" t="inlineStr">
        <is>
          <t>Not started</t>
        </is>
      </c>
      <c r="H33" s="34" t="n">
        <v>46296</v>
      </c>
      <c r="I33" s="34" t="n"/>
      <c r="J33" s="35">
        <f>IF(OR($A33="",G33="Done",G33="Ongoing",H33=""),"",H33-TODAY())</f>
        <v/>
      </c>
      <c r="K33" s="30">
        <f>IF($A33="","",IF(G33="Done","Done",IF(G33="Ongoing","Ongoing",IF(H33="","No date",IF(H33&lt;TODAY(),"Overdue",IF(H33-TODAY()&lt;=3,"Due soon","On track"))))))</f>
        <v/>
      </c>
      <c r="L33" s="36" t="inlineStr">
        <is>
          <t>Meeting w/ Dr. Gomez</t>
        </is>
      </c>
      <c r="N33" s="37">
        <f>IF(OR($A33="",G33="Done",G33="Ongoing",H33=""),"",H33+ROW()/100000)</f>
        <v/>
      </c>
    </row>
    <row r="34" ht="30" customHeight="1" s="81">
      <c r="A34" s="30" t="inlineStr">
        <is>
          <t>T30</t>
        </is>
      </c>
      <c r="B34" s="31" t="inlineStr">
        <is>
          <t>7. Student Project Guidance</t>
        </is>
      </c>
      <c r="C34" s="32" t="inlineStr">
        <is>
          <t>Ask each group for a simple sketch of their idea</t>
        </is>
      </c>
      <c r="D34" s="31" t="inlineStr">
        <is>
          <t>A simple sketch of what they are thinking about.</t>
        </is>
      </c>
      <c r="E34" s="31" t="inlineStr">
        <is>
          <t>Student groups</t>
        </is>
      </c>
      <c r="F34" s="33" t="inlineStr">
        <is>
          <t>Medium</t>
        </is>
      </c>
      <c r="G34" s="33" t="inlineStr">
        <is>
          <t>Not started</t>
        </is>
      </c>
      <c r="H34" s="34" t="n">
        <v>46296</v>
      </c>
      <c r="I34" s="34" t="n"/>
      <c r="J34" s="35">
        <f>IF(OR($A34="",G34="Done",G34="Ongoing",H34=""),"",H34-TODAY())</f>
        <v/>
      </c>
      <c r="K34" s="30">
        <f>IF($A34="","",IF(G34="Done","Done",IF(G34="Ongoing","Ongoing",IF(H34="","No date",IF(H34&lt;TODAY(),"Overdue",IF(H34-TODAY()&lt;=3,"Due soon","On track"))))))</f>
        <v/>
      </c>
      <c r="L34" s="36" t="inlineStr">
        <is>
          <t>Meeting w/ Dr. Gomez</t>
        </is>
      </c>
      <c r="N34" s="37">
        <f>IF(OR($A34="",G34="Done",G34="Ongoing",H34=""),"",H34+ROW()/100000)</f>
        <v/>
      </c>
    </row>
    <row r="35" ht="30" customHeight="1" s="81">
      <c r="A35" s="30" t="inlineStr">
        <is>
          <t>T31</t>
        </is>
      </c>
      <c r="B35" s="31" t="inlineStr">
        <is>
          <t>7. Student Project Guidance</t>
        </is>
      </c>
      <c r="C35" s="32" t="inlineStr">
        <is>
          <t>Ask each group for background and an introduction to the problem</t>
        </is>
      </c>
      <c r="D35" s="31" t="inlineStr">
        <is>
          <t>Give meaning to the problem: why dye removal / oxygenation matters.</t>
        </is>
      </c>
      <c r="E35" s="31" t="inlineStr">
        <is>
          <t>Student groups</t>
        </is>
      </c>
      <c r="F35" s="33" t="inlineStr">
        <is>
          <t>Medium</t>
        </is>
      </c>
      <c r="G35" s="33" t="inlineStr">
        <is>
          <t>Not started</t>
        </is>
      </c>
      <c r="H35" s="34" t="n">
        <v>46296</v>
      </c>
      <c r="I35" s="34" t="n"/>
      <c r="J35" s="35">
        <f>IF(OR($A35="",G35="Done",G35="Ongoing",H35=""),"",H35-TODAY())</f>
        <v/>
      </c>
      <c r="K35" s="30">
        <f>IF($A35="","",IF(G35="Done","Done",IF(G35="Ongoing","Ongoing",IF(H35="","No date",IF(H35&lt;TODAY(),"Overdue",IF(H35-TODAY()&lt;=3,"Due soon","On track"))))))</f>
        <v/>
      </c>
      <c r="L35" s="36" t="inlineStr">
        <is>
          <t>Meeting w/ Dr. Gomez</t>
        </is>
      </c>
      <c r="N35" s="37">
        <f>IF(OR($A35="",G35="Done",G35="Ongoing",H35=""),"",H35+ROW()/100000)</f>
        <v/>
      </c>
    </row>
    <row r="36" ht="24" customHeight="1" s="81">
      <c r="A36" s="30" t="n"/>
      <c r="B36" s="31" t="n"/>
      <c r="C36" s="32" t="n"/>
      <c r="D36" s="36" t="inlineStr">
        <is>
          <t>↓ Add new tasks here: type an ID (e.g., T32) in column A, then fill the row — it is counted on the Dashboard automatically.</t>
        </is>
      </c>
      <c r="E36" s="31" t="n"/>
      <c r="F36" s="33" t="n"/>
      <c r="G36" s="33" t="n"/>
      <c r="H36" s="34" t="n"/>
      <c r="I36" s="34" t="n"/>
      <c r="J36" s="35">
        <f>IF(OR($A36="",G36="Done",G36="Ongoing",H36=""),"",H36-TODAY())</f>
        <v/>
      </c>
      <c r="K36" s="30">
        <f>IF($A36="","",IF(G36="Done","Done",IF(G36="Ongoing","Ongoing",IF(H36="","No date",IF(H36&lt;TODAY(),"Overdue",IF(H36-TODAY()&lt;=3,"Due soon","On track"))))))</f>
        <v/>
      </c>
      <c r="L36" s="36" t="n"/>
      <c r="N36" s="37">
        <f>IF(OR($A36="",G36="Done",G36="Ongoing",H36=""),"",H36+ROW()/100000)</f>
        <v/>
      </c>
    </row>
    <row r="37">
      <c r="A37" s="30" t="n"/>
      <c r="B37" s="31" t="n"/>
      <c r="C37" s="32" t="n"/>
      <c r="D37" s="31" t="n"/>
      <c r="E37" s="31" t="n"/>
      <c r="F37" s="33" t="n"/>
      <c r="G37" s="33" t="n"/>
      <c r="H37" s="34" t="n"/>
      <c r="I37" s="34" t="n"/>
      <c r="J37" s="35">
        <f>IF(OR($A37="",G37="Done",G37="Ongoing",H37=""),"",H37-TODAY())</f>
        <v/>
      </c>
      <c r="K37" s="30">
        <f>IF($A37="","",IF(G37="Done","Done",IF(G37="Ongoing","Ongoing",IF(H37="","No date",IF(H37&lt;TODAY(),"Overdue",IF(H37-TODAY()&lt;=3,"Due soon","On track"))))))</f>
        <v/>
      </c>
      <c r="L37" s="36" t="n"/>
      <c r="N37" s="37">
        <f>IF(OR($A37="",G37="Done",G37="Ongoing",H37=""),"",H37+ROW()/100000)</f>
        <v/>
      </c>
    </row>
    <row r="38">
      <c r="A38" s="30" t="n"/>
      <c r="B38" s="31" t="n"/>
      <c r="C38" s="32" t="n"/>
      <c r="D38" s="31" t="n"/>
      <c r="E38" s="31" t="n"/>
      <c r="F38" s="33" t="n"/>
      <c r="G38" s="33" t="n"/>
      <c r="H38" s="34" t="n"/>
      <c r="I38" s="34" t="n"/>
      <c r="J38" s="35">
        <f>IF(OR($A38="",G38="Done",G38="Ongoing",H38=""),"",H38-TODAY())</f>
        <v/>
      </c>
      <c r="K38" s="30">
        <f>IF($A38="","",IF(G38="Done","Done",IF(G38="Ongoing","Ongoing",IF(H38="","No date",IF(H38&lt;TODAY(),"Overdue",IF(H38-TODAY()&lt;=3,"Due soon","On track"))))))</f>
        <v/>
      </c>
      <c r="L38" s="36" t="n"/>
      <c r="N38" s="37">
        <f>IF(OR($A38="",G38="Done",G38="Ongoing",H38=""),"",H38+ROW()/100000)</f>
        <v/>
      </c>
    </row>
    <row r="39">
      <c r="A39" s="30" t="n"/>
      <c r="B39" s="31" t="n"/>
      <c r="C39" s="32" t="n"/>
      <c r="D39" s="31" t="n"/>
      <c r="E39" s="31" t="n"/>
      <c r="F39" s="33" t="n"/>
      <c r="G39" s="33" t="n"/>
      <c r="H39" s="34" t="n"/>
      <c r="I39" s="34" t="n"/>
      <c r="J39" s="35">
        <f>IF(OR($A39="",G39="Done",G39="Ongoing",H39=""),"",H39-TODAY())</f>
        <v/>
      </c>
      <c r="K39" s="30">
        <f>IF($A39="","",IF(G39="Done","Done",IF(G39="Ongoing","Ongoing",IF(H39="","No date",IF(H39&lt;TODAY(),"Overdue",IF(H39-TODAY()&lt;=3,"Due soon","On track"))))))</f>
        <v/>
      </c>
      <c r="L39" s="36" t="n"/>
      <c r="N39" s="37">
        <f>IF(OR($A39="",G39="Done",G39="Ongoing",H39=""),"",H39+ROW()/100000)</f>
        <v/>
      </c>
    </row>
    <row r="40">
      <c r="A40" s="30" t="n"/>
      <c r="B40" s="31" t="n"/>
      <c r="C40" s="32" t="n"/>
      <c r="D40" s="31" t="n"/>
      <c r="E40" s="31" t="n"/>
      <c r="F40" s="33" t="n"/>
      <c r="G40" s="33" t="n"/>
      <c r="H40" s="34" t="n"/>
      <c r="I40" s="34" t="n"/>
      <c r="J40" s="35">
        <f>IF(OR($A40="",G40="Done",G40="Ongoing",H40=""),"",H40-TODAY())</f>
        <v/>
      </c>
      <c r="K40" s="30">
        <f>IF($A40="","",IF(G40="Done","Done",IF(G40="Ongoing","Ongoing",IF(H40="","No date",IF(H40&lt;TODAY(),"Overdue",IF(H40-TODAY()&lt;=3,"Due soon","On track"))))))</f>
        <v/>
      </c>
      <c r="L40" s="36" t="n"/>
      <c r="N40" s="37">
        <f>IF(OR($A40="",G40="Done",G40="Ongoing",H40=""),"",H40+ROW()/100000)</f>
        <v/>
      </c>
    </row>
    <row r="41">
      <c r="A41" s="30" t="n"/>
      <c r="B41" s="31" t="n"/>
      <c r="C41" s="32" t="n"/>
      <c r="D41" s="31" t="n"/>
      <c r="E41" s="31" t="n"/>
      <c r="F41" s="33" t="n"/>
      <c r="G41" s="33" t="n"/>
      <c r="H41" s="34" t="n"/>
      <c r="I41" s="34" t="n"/>
      <c r="J41" s="35">
        <f>IF(OR($A41="",G41="Done",G41="Ongoing",H41=""),"",H41-TODAY())</f>
        <v/>
      </c>
      <c r="K41" s="30">
        <f>IF($A41="","",IF(G41="Done","Done",IF(G41="Ongoing","Ongoing",IF(H41="","No date",IF(H41&lt;TODAY(),"Overdue",IF(H41-TODAY()&lt;=3,"Due soon","On track"))))))</f>
        <v/>
      </c>
      <c r="L41" s="36" t="n"/>
      <c r="N41" s="37">
        <f>IF(OR($A41="",G41="Done",G41="Ongoing",H41=""),"",H41+ROW()/100000)</f>
        <v/>
      </c>
    </row>
    <row r="42">
      <c r="A42" s="30" t="n"/>
      <c r="B42" s="31" t="n"/>
      <c r="C42" s="32" t="n"/>
      <c r="D42" s="31" t="n"/>
      <c r="E42" s="31" t="n"/>
      <c r="F42" s="33" t="n"/>
      <c r="G42" s="33" t="n"/>
      <c r="H42" s="34" t="n"/>
      <c r="I42" s="34" t="n"/>
      <c r="J42" s="35">
        <f>IF(OR($A42="",G42="Done",G42="Ongoing",H42=""),"",H42-TODAY())</f>
        <v/>
      </c>
      <c r="K42" s="30">
        <f>IF($A42="","",IF(G42="Done","Done",IF(G42="Ongoing","Ongoing",IF(H42="","No date",IF(H42&lt;TODAY(),"Overdue",IF(H42-TODAY()&lt;=3,"Due soon","On track"))))))</f>
        <v/>
      </c>
      <c r="L42" s="36" t="n"/>
      <c r="N42" s="37">
        <f>IF(OR($A42="",G42="Done",G42="Ongoing",H42=""),"",H42+ROW()/100000)</f>
        <v/>
      </c>
    </row>
    <row r="43">
      <c r="A43" s="30" t="n"/>
      <c r="B43" s="31" t="n"/>
      <c r="C43" s="32" t="n"/>
      <c r="D43" s="31" t="n"/>
      <c r="E43" s="31" t="n"/>
      <c r="F43" s="33" t="n"/>
      <c r="G43" s="33" t="n"/>
      <c r="H43" s="34" t="n"/>
      <c r="I43" s="34" t="n"/>
      <c r="J43" s="35">
        <f>IF(OR($A43="",G43="Done",G43="Ongoing",H43=""),"",H43-TODAY())</f>
        <v/>
      </c>
      <c r="K43" s="30">
        <f>IF($A43="","",IF(G43="Done","Done",IF(G43="Ongoing","Ongoing",IF(H43="","No date",IF(H43&lt;TODAY(),"Overdue",IF(H43-TODAY()&lt;=3,"Due soon","On track"))))))</f>
        <v/>
      </c>
      <c r="L43" s="36" t="n"/>
      <c r="N43" s="37">
        <f>IF(OR($A43="",G43="Done",G43="Ongoing",H43=""),"",H43+ROW()/100000)</f>
        <v/>
      </c>
    </row>
    <row r="44">
      <c r="A44" s="30" t="n"/>
      <c r="B44" s="31" t="n"/>
      <c r="C44" s="32" t="n"/>
      <c r="D44" s="31" t="n"/>
      <c r="E44" s="31" t="n"/>
      <c r="F44" s="33" t="n"/>
      <c r="G44" s="33" t="n"/>
      <c r="H44" s="34" t="n"/>
      <c r="I44" s="34" t="n"/>
      <c r="J44" s="35">
        <f>IF(OR($A44="",G44="Done",G44="Ongoing",H44=""),"",H44-TODAY())</f>
        <v/>
      </c>
      <c r="K44" s="30">
        <f>IF($A44="","",IF(G44="Done","Done",IF(G44="Ongoing","Ongoing",IF(H44="","No date",IF(H44&lt;TODAY(),"Overdue",IF(H44-TODAY()&lt;=3,"Due soon","On track"))))))</f>
        <v/>
      </c>
      <c r="L44" s="36" t="n"/>
      <c r="N44" s="37">
        <f>IF(OR($A44="",G44="Done",G44="Ongoing",H44=""),"",H44+ROW()/100000)</f>
        <v/>
      </c>
    </row>
    <row r="45">
      <c r="A45" s="30" t="n"/>
      <c r="B45" s="31" t="n"/>
      <c r="C45" s="32" t="n"/>
      <c r="D45" s="31" t="n"/>
      <c r="E45" s="31" t="n"/>
      <c r="F45" s="33" t="n"/>
      <c r="G45" s="33" t="n"/>
      <c r="H45" s="34" t="n"/>
      <c r="I45" s="34" t="n"/>
      <c r="J45" s="35">
        <f>IF(OR($A45="",G45="Done",G45="Ongoing",H45=""),"",H45-TODAY())</f>
        <v/>
      </c>
      <c r="K45" s="30">
        <f>IF($A45="","",IF(G45="Done","Done",IF(G45="Ongoing","Ongoing",IF(H45="","No date",IF(H45&lt;TODAY(),"Overdue",IF(H45-TODAY()&lt;=3,"Due soon","On track"))))))</f>
        <v/>
      </c>
      <c r="L45" s="36" t="n"/>
      <c r="N45" s="37">
        <f>IF(OR($A45="",G45="Done",G45="Ongoing",H45=""),"",H45+ROW()/100000)</f>
        <v/>
      </c>
    </row>
    <row r="46">
      <c r="A46" s="30" t="n"/>
      <c r="B46" s="31" t="n"/>
      <c r="C46" s="32" t="n"/>
      <c r="D46" s="31" t="n"/>
      <c r="E46" s="31" t="n"/>
      <c r="F46" s="33" t="n"/>
      <c r="G46" s="33" t="n"/>
      <c r="H46" s="34" t="n"/>
      <c r="I46" s="34" t="n"/>
      <c r="J46" s="35">
        <f>IF(OR($A46="",G46="Done",G46="Ongoing",H46=""),"",H46-TODAY())</f>
        <v/>
      </c>
      <c r="K46" s="30">
        <f>IF($A46="","",IF(G46="Done","Done",IF(G46="Ongoing","Ongoing",IF(H46="","No date",IF(H46&lt;TODAY(),"Overdue",IF(H46-TODAY()&lt;=3,"Due soon","On track"))))))</f>
        <v/>
      </c>
      <c r="L46" s="36" t="n"/>
      <c r="N46" s="37">
        <f>IF(OR($A46="",G46="Done",G46="Ongoing",H46=""),"",H46+ROW()/100000)</f>
        <v/>
      </c>
    </row>
    <row r="47">
      <c r="A47" s="30" t="n"/>
      <c r="B47" s="31" t="n"/>
      <c r="C47" s="32" t="n"/>
      <c r="D47" s="31" t="n"/>
      <c r="E47" s="31" t="n"/>
      <c r="F47" s="33" t="n"/>
      <c r="G47" s="33" t="n"/>
      <c r="H47" s="34" t="n"/>
      <c r="I47" s="34" t="n"/>
      <c r="J47" s="35">
        <f>IF(OR($A47="",G47="Done",G47="Ongoing",H47=""),"",H47-TODAY())</f>
        <v/>
      </c>
      <c r="K47" s="30">
        <f>IF($A47="","",IF(G47="Done","Done",IF(G47="Ongoing","Ongoing",IF(H47="","No date",IF(H47&lt;TODAY(),"Overdue",IF(H47-TODAY()&lt;=3,"Due soon","On track"))))))</f>
        <v/>
      </c>
      <c r="L47" s="36" t="n"/>
      <c r="N47" s="37">
        <f>IF(OR($A47="",G47="Done",G47="Ongoing",H47=""),"",H47+ROW()/100000)</f>
        <v/>
      </c>
    </row>
    <row r="48">
      <c r="A48" s="30" t="n"/>
      <c r="B48" s="31" t="n"/>
      <c r="C48" s="32" t="n"/>
      <c r="D48" s="31" t="n"/>
      <c r="E48" s="31" t="n"/>
      <c r="F48" s="33" t="n"/>
      <c r="G48" s="33" t="n"/>
      <c r="H48" s="34" t="n"/>
      <c r="I48" s="34" t="n"/>
      <c r="J48" s="35">
        <f>IF(OR($A48="",G48="Done",G48="Ongoing",H48=""),"",H48-TODAY())</f>
        <v/>
      </c>
      <c r="K48" s="30">
        <f>IF($A48="","",IF(G48="Done","Done",IF(G48="Ongoing","Ongoing",IF(H48="","No date",IF(H48&lt;TODAY(),"Overdue",IF(H48-TODAY()&lt;=3,"Due soon","On track"))))))</f>
        <v/>
      </c>
      <c r="L48" s="36" t="n"/>
      <c r="N48" s="37">
        <f>IF(OR($A48="",G48="Done",G48="Ongoing",H48=""),"",H48+ROW()/100000)</f>
        <v/>
      </c>
    </row>
    <row r="49">
      <c r="A49" s="30" t="n"/>
      <c r="B49" s="31" t="n"/>
      <c r="C49" s="32" t="n"/>
      <c r="D49" s="31" t="n"/>
      <c r="E49" s="31" t="n"/>
      <c r="F49" s="33" t="n"/>
      <c r="G49" s="33" t="n"/>
      <c r="H49" s="34" t="n"/>
      <c r="I49" s="34" t="n"/>
      <c r="J49" s="35">
        <f>IF(OR($A49="",G49="Done",G49="Ongoing",H49=""),"",H49-TODAY())</f>
        <v/>
      </c>
      <c r="K49" s="30">
        <f>IF($A49="","",IF(G49="Done","Done",IF(G49="Ongoing","Ongoing",IF(H49="","No date",IF(H49&lt;TODAY(),"Overdue",IF(H49-TODAY()&lt;=3,"Due soon","On track"))))))</f>
        <v/>
      </c>
      <c r="L49" s="36" t="n"/>
      <c r="N49" s="37">
        <f>IF(OR($A49="",G49="Done",G49="Ongoing",H49=""),"",H49+ROW()/100000)</f>
        <v/>
      </c>
    </row>
    <row r="50">
      <c r="A50" s="30" t="n"/>
      <c r="B50" s="31" t="n"/>
      <c r="C50" s="32" t="n"/>
      <c r="D50" s="31" t="n"/>
      <c r="E50" s="31" t="n"/>
      <c r="F50" s="33" t="n"/>
      <c r="G50" s="33" t="n"/>
      <c r="H50" s="34" t="n"/>
      <c r="I50" s="34" t="n"/>
      <c r="J50" s="35">
        <f>IF(OR($A50="",G50="Done",G50="Ongoing",H50=""),"",H50-TODAY())</f>
        <v/>
      </c>
      <c r="K50" s="30">
        <f>IF($A50="","",IF(G50="Done","Done",IF(G50="Ongoing","Ongoing",IF(H50="","No date",IF(H50&lt;TODAY(),"Overdue",IF(H50-TODAY()&lt;=3,"Due soon","On track"))))))</f>
        <v/>
      </c>
      <c r="L50" s="36" t="n"/>
      <c r="N50" s="37">
        <f>IF(OR($A50="",G50="Done",G50="Ongoing",H50=""),"",H50+ROW()/100000)</f>
        <v/>
      </c>
    </row>
    <row r="51">
      <c r="A51" s="30" t="n"/>
      <c r="B51" s="31" t="n"/>
      <c r="C51" s="32" t="n"/>
      <c r="D51" s="31" t="n"/>
      <c r="E51" s="31" t="n"/>
      <c r="F51" s="33" t="n"/>
      <c r="G51" s="33" t="n"/>
      <c r="H51" s="34" t="n"/>
      <c r="I51" s="34" t="n"/>
      <c r="J51" s="35">
        <f>IF(OR($A51="",G51="Done",G51="Ongoing",H51=""),"",H51-TODAY())</f>
        <v/>
      </c>
      <c r="K51" s="30">
        <f>IF($A51="","",IF(G51="Done","Done",IF(G51="Ongoing","Ongoing",IF(H51="","No date",IF(H51&lt;TODAY(),"Overdue",IF(H51-TODAY()&lt;=3,"Due soon","On track"))))))</f>
        <v/>
      </c>
      <c r="L51" s="36" t="n"/>
      <c r="N51" s="37">
        <f>IF(OR($A51="",G51="Done",G51="Ongoing",H51=""),"",H51+ROW()/100000)</f>
        <v/>
      </c>
    </row>
    <row r="52">
      <c r="A52" s="30" t="n"/>
      <c r="B52" s="31" t="n"/>
      <c r="C52" s="32" t="n"/>
      <c r="D52" s="31" t="n"/>
      <c r="E52" s="31" t="n"/>
      <c r="F52" s="33" t="n"/>
      <c r="G52" s="33" t="n"/>
      <c r="H52" s="34" t="n"/>
      <c r="I52" s="34" t="n"/>
      <c r="J52" s="35">
        <f>IF(OR($A52="",G52="Done",G52="Ongoing",H52=""),"",H52-TODAY())</f>
        <v/>
      </c>
      <c r="K52" s="30">
        <f>IF($A52="","",IF(G52="Done","Done",IF(G52="Ongoing","Ongoing",IF(H52="","No date",IF(H52&lt;TODAY(),"Overdue",IF(H52-TODAY()&lt;=3,"Due soon","On track"))))))</f>
        <v/>
      </c>
      <c r="L52" s="36" t="n"/>
      <c r="N52" s="37">
        <f>IF(OR($A52="",G52="Done",G52="Ongoing",H52=""),"",H52+ROW()/100000)</f>
        <v/>
      </c>
    </row>
    <row r="53">
      <c r="A53" s="30" t="n"/>
      <c r="B53" s="31" t="n"/>
      <c r="C53" s="32" t="n"/>
      <c r="D53" s="31" t="n"/>
      <c r="E53" s="31" t="n"/>
      <c r="F53" s="33" t="n"/>
      <c r="G53" s="33" t="n"/>
      <c r="H53" s="34" t="n"/>
      <c r="I53" s="34" t="n"/>
      <c r="J53" s="35">
        <f>IF(OR($A53="",G53="Done",G53="Ongoing",H53=""),"",H53-TODAY())</f>
        <v/>
      </c>
      <c r="K53" s="30">
        <f>IF($A53="","",IF(G53="Done","Done",IF(G53="Ongoing","Ongoing",IF(H53="","No date",IF(H53&lt;TODAY(),"Overdue",IF(H53-TODAY()&lt;=3,"Due soon","On track"))))))</f>
        <v/>
      </c>
      <c r="L53" s="36" t="n"/>
      <c r="N53" s="37">
        <f>IF(OR($A53="",G53="Done",G53="Ongoing",H53=""),"",H53+ROW()/100000)</f>
        <v/>
      </c>
    </row>
    <row r="54">
      <c r="A54" s="30" t="n"/>
      <c r="B54" s="31" t="n"/>
      <c r="C54" s="32" t="n"/>
      <c r="D54" s="31" t="n"/>
      <c r="E54" s="31" t="n"/>
      <c r="F54" s="33" t="n"/>
      <c r="G54" s="33" t="n"/>
      <c r="H54" s="34" t="n"/>
      <c r="I54" s="34" t="n"/>
      <c r="J54" s="35">
        <f>IF(OR($A54="",G54="Done",G54="Ongoing",H54=""),"",H54-TODAY())</f>
        <v/>
      </c>
      <c r="K54" s="30">
        <f>IF($A54="","",IF(G54="Done","Done",IF(G54="Ongoing","Ongoing",IF(H54="","No date",IF(H54&lt;TODAY(),"Overdue",IF(H54-TODAY()&lt;=3,"Due soon","On track"))))))</f>
        <v/>
      </c>
      <c r="L54" s="36" t="n"/>
      <c r="N54" s="37">
        <f>IF(OR($A54="",G54="Done",G54="Ongoing",H54=""),"",H54+ROW()/100000)</f>
        <v/>
      </c>
    </row>
    <row r="55">
      <c r="A55" s="30" t="n"/>
      <c r="B55" s="31" t="n"/>
      <c r="C55" s="32" t="n"/>
      <c r="D55" s="31" t="n"/>
      <c r="E55" s="31" t="n"/>
      <c r="F55" s="33" t="n"/>
      <c r="G55" s="33" t="n"/>
      <c r="H55" s="34" t="n"/>
      <c r="I55" s="34" t="n"/>
      <c r="J55" s="35">
        <f>IF(OR($A55="",G55="Done",G55="Ongoing",H55=""),"",H55-TODAY())</f>
        <v/>
      </c>
      <c r="K55" s="30">
        <f>IF($A55="","",IF(G55="Done","Done",IF(G55="Ongoing","Ongoing",IF(H55="","No date",IF(H55&lt;TODAY(),"Overdue",IF(H55-TODAY()&lt;=3,"Due soon","On track"))))))</f>
        <v/>
      </c>
      <c r="L55" s="36" t="n"/>
      <c r="N55" s="37">
        <f>IF(OR($A55="",G55="Done",G55="Ongoing",H55=""),"",H55+ROW()/100000)</f>
        <v/>
      </c>
    </row>
    <row r="56">
      <c r="A56" s="30" t="n"/>
      <c r="B56" s="31" t="n"/>
      <c r="C56" s="32" t="n"/>
      <c r="D56" s="31" t="n"/>
      <c r="E56" s="31" t="n"/>
      <c r="F56" s="33" t="n"/>
      <c r="G56" s="33" t="n"/>
      <c r="H56" s="34" t="n"/>
      <c r="I56" s="34" t="n"/>
      <c r="J56" s="35">
        <f>IF(OR($A56="",G56="Done",G56="Ongoing",H56=""),"",H56-TODAY())</f>
        <v/>
      </c>
      <c r="K56" s="30">
        <f>IF($A56="","",IF(G56="Done","Done",IF(G56="Ongoing","Ongoing",IF(H56="","No date",IF(H56&lt;TODAY(),"Overdue",IF(H56-TODAY()&lt;=3,"Due soon","On track"))))))</f>
        <v/>
      </c>
      <c r="L56" s="36" t="n"/>
      <c r="N56" s="37">
        <f>IF(OR($A56="",G56="Done",G56="Ongoing",H56=""),"",H56+ROW()/100000)</f>
        <v/>
      </c>
    </row>
    <row r="57">
      <c r="A57" s="30" t="n"/>
      <c r="B57" s="31" t="n"/>
      <c r="C57" s="32" t="n"/>
      <c r="D57" s="31" t="n"/>
      <c r="E57" s="31" t="n"/>
      <c r="F57" s="33" t="n"/>
      <c r="G57" s="33" t="n"/>
      <c r="H57" s="34" t="n"/>
      <c r="I57" s="34" t="n"/>
      <c r="J57" s="35">
        <f>IF(OR($A57="",G57="Done",G57="Ongoing",H57=""),"",H57-TODAY())</f>
        <v/>
      </c>
      <c r="K57" s="30">
        <f>IF($A57="","",IF(G57="Done","Done",IF(G57="Ongoing","Ongoing",IF(H57="","No date",IF(H57&lt;TODAY(),"Overdue",IF(H57-TODAY()&lt;=3,"Due soon","On track"))))))</f>
        <v/>
      </c>
      <c r="L57" s="36" t="n"/>
      <c r="N57" s="37">
        <f>IF(OR($A57="",G57="Done",G57="Ongoing",H57=""),"",H57+ROW()/100000)</f>
        <v/>
      </c>
    </row>
    <row r="58">
      <c r="A58" s="30" t="n"/>
      <c r="B58" s="31" t="n"/>
      <c r="C58" s="32" t="n"/>
      <c r="D58" s="31" t="n"/>
      <c r="E58" s="31" t="n"/>
      <c r="F58" s="33" t="n"/>
      <c r="G58" s="33" t="n"/>
      <c r="H58" s="34" t="n"/>
      <c r="I58" s="34" t="n"/>
      <c r="J58" s="35">
        <f>IF(OR($A58="",G58="Done",G58="Ongoing",H58=""),"",H58-TODAY())</f>
        <v/>
      </c>
      <c r="K58" s="30">
        <f>IF($A58="","",IF(G58="Done","Done",IF(G58="Ongoing","Ongoing",IF(H58="","No date",IF(H58&lt;TODAY(),"Overdue",IF(H58-TODAY()&lt;=3,"Due soon","On track"))))))</f>
        <v/>
      </c>
      <c r="L58" s="36" t="n"/>
      <c r="N58" s="37">
        <f>IF(OR($A58="",G58="Done",G58="Ongoing",H58=""),"",H58+ROW()/100000)</f>
        <v/>
      </c>
    </row>
    <row r="59">
      <c r="A59" s="30" t="n"/>
      <c r="B59" s="31" t="n"/>
      <c r="C59" s="32" t="n"/>
      <c r="D59" s="31" t="n"/>
      <c r="E59" s="31" t="n"/>
      <c r="F59" s="33" t="n"/>
      <c r="G59" s="33" t="n"/>
      <c r="H59" s="34" t="n"/>
      <c r="I59" s="34" t="n"/>
      <c r="J59" s="35">
        <f>IF(OR($A59="",G59="Done",G59="Ongoing",H59=""),"",H59-TODAY())</f>
        <v/>
      </c>
      <c r="K59" s="30">
        <f>IF($A59="","",IF(G59="Done","Done",IF(G59="Ongoing","Ongoing",IF(H59="","No date",IF(H59&lt;TODAY(),"Overdue",IF(H59-TODAY()&lt;=3,"Due soon","On track"))))))</f>
        <v/>
      </c>
      <c r="L59" s="36" t="n"/>
      <c r="N59" s="37">
        <f>IF(OR($A59="",G59="Done",G59="Ongoing",H59=""),"",H59+ROW()/100000)</f>
        <v/>
      </c>
    </row>
    <row r="60">
      <c r="A60" s="30" t="n"/>
      <c r="B60" s="31" t="n"/>
      <c r="C60" s="32" t="n"/>
      <c r="D60" s="31" t="n"/>
      <c r="E60" s="31" t="n"/>
      <c r="F60" s="33" t="n"/>
      <c r="G60" s="33" t="n"/>
      <c r="H60" s="34" t="n"/>
      <c r="I60" s="34" t="n"/>
      <c r="J60" s="35">
        <f>IF(OR($A60="",G60="Done",G60="Ongoing",H60=""),"",H60-TODAY())</f>
        <v/>
      </c>
      <c r="K60" s="30">
        <f>IF($A60="","",IF(G60="Done","Done",IF(G60="Ongoing","Ongoing",IF(H60="","No date",IF(H60&lt;TODAY(),"Overdue",IF(H60-TODAY()&lt;=3,"Due soon","On track"))))))</f>
        <v/>
      </c>
      <c r="L60" s="36" t="n"/>
      <c r="N60" s="37">
        <f>IF(OR($A60="",G60="Done",G60="Ongoing",H60=""),"",H60+ROW()/100000)</f>
        <v/>
      </c>
    </row>
    <row r="61">
      <c r="A61" s="30" t="n"/>
      <c r="B61" s="31" t="n"/>
      <c r="C61" s="32" t="n"/>
      <c r="D61" s="31" t="n"/>
      <c r="E61" s="31" t="n"/>
      <c r="F61" s="33" t="n"/>
      <c r="G61" s="33" t="n"/>
      <c r="H61" s="34" t="n"/>
      <c r="I61" s="34" t="n"/>
      <c r="J61" s="35">
        <f>IF(OR($A61="",G61="Done",G61="Ongoing",H61=""),"",H61-TODAY())</f>
        <v/>
      </c>
      <c r="K61" s="30">
        <f>IF($A61="","",IF(G61="Done","Done",IF(G61="Ongoing","Ongoing",IF(H61="","No date",IF(H61&lt;TODAY(),"Overdue",IF(H61-TODAY()&lt;=3,"Due soon","On track"))))))</f>
        <v/>
      </c>
      <c r="L61" s="36" t="n"/>
      <c r="N61" s="37">
        <f>IF(OR($A61="",G61="Done",G61="Ongoing",H61=""),"",H61+ROW()/100000)</f>
        <v/>
      </c>
    </row>
    <row r="62">
      <c r="A62" s="30" t="n"/>
      <c r="B62" s="31" t="n"/>
      <c r="C62" s="32" t="n"/>
      <c r="D62" s="31" t="n"/>
      <c r="E62" s="31" t="n"/>
      <c r="F62" s="33" t="n"/>
      <c r="G62" s="33" t="n"/>
      <c r="H62" s="34" t="n"/>
      <c r="I62" s="34" t="n"/>
      <c r="J62" s="35">
        <f>IF(OR($A62="",G62="Done",G62="Ongoing",H62=""),"",H62-TODAY())</f>
        <v/>
      </c>
      <c r="K62" s="30">
        <f>IF($A62="","",IF(G62="Done","Done",IF(G62="Ongoing","Ongoing",IF(H62="","No date",IF(H62&lt;TODAY(),"Overdue",IF(H62-TODAY()&lt;=3,"Due soon","On track"))))))</f>
        <v/>
      </c>
      <c r="L62" s="36" t="n"/>
      <c r="N62" s="37">
        <f>IF(OR($A62="",G62="Done",G62="Ongoing",H62=""),"",H62+ROW()/100000)</f>
        <v/>
      </c>
    </row>
    <row r="63">
      <c r="A63" s="30" t="n"/>
      <c r="B63" s="31" t="n"/>
      <c r="C63" s="32" t="n"/>
      <c r="D63" s="31" t="n"/>
      <c r="E63" s="31" t="n"/>
      <c r="F63" s="33" t="n"/>
      <c r="G63" s="33" t="n"/>
      <c r="H63" s="34" t="n"/>
      <c r="I63" s="34" t="n"/>
      <c r="J63" s="35">
        <f>IF(OR($A63="",G63="Done",G63="Ongoing",H63=""),"",H63-TODAY())</f>
        <v/>
      </c>
      <c r="K63" s="30">
        <f>IF($A63="","",IF(G63="Done","Done",IF(G63="Ongoing","Ongoing",IF(H63="","No date",IF(H63&lt;TODAY(),"Overdue",IF(H63-TODAY()&lt;=3,"Due soon","On track"))))))</f>
        <v/>
      </c>
      <c r="L63" s="36" t="n"/>
      <c r="N63" s="37">
        <f>IF(OR($A63="",G63="Done",G63="Ongoing",H63=""),"",H63+ROW()/100000)</f>
        <v/>
      </c>
    </row>
    <row r="64">
      <c r="A64" s="30" t="n"/>
      <c r="B64" s="31" t="n"/>
      <c r="C64" s="32" t="n"/>
      <c r="D64" s="31" t="n"/>
      <c r="E64" s="31" t="n"/>
      <c r="F64" s="33" t="n"/>
      <c r="G64" s="33" t="n"/>
      <c r="H64" s="34" t="n"/>
      <c r="I64" s="34" t="n"/>
      <c r="J64" s="35">
        <f>IF(OR($A64="",G64="Done",G64="Ongoing",H64=""),"",H64-TODAY())</f>
        <v/>
      </c>
      <c r="K64" s="30">
        <f>IF($A64="","",IF(G64="Done","Done",IF(G64="Ongoing","Ongoing",IF(H64="","No date",IF(H64&lt;TODAY(),"Overdue",IF(H64-TODAY()&lt;=3,"Due soon","On track"))))))</f>
        <v/>
      </c>
      <c r="L64" s="36" t="n"/>
      <c r="N64" s="37">
        <f>IF(OR($A64="",G64="Done",G64="Ongoing",H64=""),"",H64+ROW()/100000)</f>
        <v/>
      </c>
    </row>
    <row r="65">
      <c r="A65" s="30" t="n"/>
      <c r="B65" s="31" t="n"/>
      <c r="C65" s="32" t="n"/>
      <c r="D65" s="31" t="n"/>
      <c r="E65" s="31" t="n"/>
      <c r="F65" s="33" t="n"/>
      <c r="G65" s="33" t="n"/>
      <c r="H65" s="34" t="n"/>
      <c r="I65" s="34" t="n"/>
      <c r="J65" s="35">
        <f>IF(OR($A65="",G65="Done",G65="Ongoing",H65=""),"",H65-TODAY())</f>
        <v/>
      </c>
      <c r="K65" s="30">
        <f>IF($A65="","",IF(G65="Done","Done",IF(G65="Ongoing","Ongoing",IF(H65="","No date",IF(H65&lt;TODAY(),"Overdue",IF(H65-TODAY()&lt;=3,"Due soon","On track"))))))</f>
        <v/>
      </c>
      <c r="L65" s="36" t="n"/>
      <c r="N65" s="37">
        <f>IF(OR($A65="",G65="Done",G65="Ongoing",H65=""),"",H65+ROW()/100000)</f>
        <v/>
      </c>
    </row>
    <row r="66">
      <c r="A66" s="30" t="n"/>
      <c r="B66" s="31" t="n"/>
      <c r="C66" s="32" t="n"/>
      <c r="D66" s="31" t="n"/>
      <c r="E66" s="31" t="n"/>
      <c r="F66" s="33" t="n"/>
      <c r="G66" s="33" t="n"/>
      <c r="H66" s="34" t="n"/>
      <c r="I66" s="34" t="n"/>
      <c r="J66" s="35">
        <f>IF(OR($A66="",G66="Done",G66="Ongoing",H66=""),"",H66-TODAY())</f>
        <v/>
      </c>
      <c r="K66" s="30">
        <f>IF($A66="","",IF(G66="Done","Done",IF(G66="Ongoing","Ongoing",IF(H66="","No date",IF(H66&lt;TODAY(),"Overdue",IF(H66-TODAY()&lt;=3,"Due soon","On track"))))))</f>
        <v/>
      </c>
      <c r="L66" s="36" t="n"/>
      <c r="N66" s="37">
        <f>IF(OR($A66="",G66="Done",G66="Ongoing",H66=""),"",H66+ROW()/100000)</f>
        <v/>
      </c>
    </row>
    <row r="67">
      <c r="A67" s="30" t="n"/>
      <c r="B67" s="31" t="n"/>
      <c r="C67" s="32" t="n"/>
      <c r="D67" s="31" t="n"/>
      <c r="E67" s="31" t="n"/>
      <c r="F67" s="33" t="n"/>
      <c r="G67" s="33" t="n"/>
      <c r="H67" s="34" t="n"/>
      <c r="I67" s="34" t="n"/>
      <c r="J67" s="35">
        <f>IF(OR($A67="",G67="Done",G67="Ongoing",H67=""),"",H67-TODAY())</f>
        <v/>
      </c>
      <c r="K67" s="30">
        <f>IF($A67="","",IF(G67="Done","Done",IF(G67="Ongoing","Ongoing",IF(H67="","No date",IF(H67&lt;TODAY(),"Overdue",IF(H67-TODAY()&lt;=3,"Due soon","On track"))))))</f>
        <v/>
      </c>
      <c r="L67" s="36" t="n"/>
      <c r="N67" s="37">
        <f>IF(OR($A67="",G67="Done",G67="Ongoing",H67=""),"",H67+ROW()/100000)</f>
        <v/>
      </c>
    </row>
    <row r="68">
      <c r="A68" s="30" t="n"/>
      <c r="B68" s="31" t="n"/>
      <c r="C68" s="32" t="n"/>
      <c r="D68" s="31" t="n"/>
      <c r="E68" s="31" t="n"/>
      <c r="F68" s="33" t="n"/>
      <c r="G68" s="33" t="n"/>
      <c r="H68" s="34" t="n"/>
      <c r="I68" s="34" t="n"/>
      <c r="J68" s="35">
        <f>IF(OR($A68="",G68="Done",G68="Ongoing",H68=""),"",H68-TODAY())</f>
        <v/>
      </c>
      <c r="K68" s="30">
        <f>IF($A68="","",IF(G68="Done","Done",IF(G68="Ongoing","Ongoing",IF(H68="","No date",IF(H68&lt;TODAY(),"Overdue",IF(H68-TODAY()&lt;=3,"Due soon","On track"))))))</f>
        <v/>
      </c>
      <c r="L68" s="36" t="n"/>
      <c r="N68" s="37">
        <f>IF(OR($A68="",G68="Done",G68="Ongoing",H68=""),"",H68+ROW()/100000)</f>
        <v/>
      </c>
    </row>
    <row r="69">
      <c r="A69" s="30" t="n"/>
      <c r="B69" s="31" t="n"/>
      <c r="C69" s="32" t="n"/>
      <c r="D69" s="31" t="n"/>
      <c r="E69" s="31" t="n"/>
      <c r="F69" s="33" t="n"/>
      <c r="G69" s="33" t="n"/>
      <c r="H69" s="34" t="n"/>
      <c r="I69" s="34" t="n"/>
      <c r="J69" s="35">
        <f>IF(OR($A69="",G69="Done",G69="Ongoing",H69=""),"",H69-TODAY())</f>
        <v/>
      </c>
      <c r="K69" s="30">
        <f>IF($A69="","",IF(G69="Done","Done",IF(G69="Ongoing","Ongoing",IF(H69="","No date",IF(H69&lt;TODAY(),"Overdue",IF(H69-TODAY()&lt;=3,"Due soon","On track"))))))</f>
        <v/>
      </c>
      <c r="L69" s="36" t="n"/>
      <c r="N69" s="37">
        <f>IF(OR($A69="",G69="Done",G69="Ongoing",H69=""),"",H69+ROW()/100000)</f>
        <v/>
      </c>
    </row>
    <row r="70">
      <c r="A70" s="30" t="n"/>
      <c r="B70" s="31" t="n"/>
      <c r="C70" s="32" t="n"/>
      <c r="D70" s="31" t="n"/>
      <c r="E70" s="31" t="n"/>
      <c r="F70" s="33" t="n"/>
      <c r="G70" s="33" t="n"/>
      <c r="H70" s="34" t="n"/>
      <c r="I70" s="34" t="n"/>
      <c r="J70" s="35">
        <f>IF(OR($A70="",G70="Done",G70="Ongoing",H70=""),"",H70-TODAY())</f>
        <v/>
      </c>
      <c r="K70" s="30">
        <f>IF($A70="","",IF(G70="Done","Done",IF(G70="Ongoing","Ongoing",IF(H70="","No date",IF(H70&lt;TODAY(),"Overdue",IF(H70-TODAY()&lt;=3,"Due soon","On track"))))))</f>
        <v/>
      </c>
      <c r="L70" s="36" t="n"/>
      <c r="N70" s="37">
        <f>IF(OR($A70="",G70="Done",G70="Ongoing",H70=""),"",H70+ROW()/100000)</f>
        <v/>
      </c>
    </row>
    <row r="71">
      <c r="A71" s="30" t="n"/>
      <c r="B71" s="31" t="n"/>
      <c r="C71" s="32" t="n"/>
      <c r="D71" s="31" t="n"/>
      <c r="E71" s="31" t="n"/>
      <c r="F71" s="33" t="n"/>
      <c r="G71" s="33" t="n"/>
      <c r="H71" s="34" t="n"/>
      <c r="I71" s="34" t="n"/>
      <c r="J71" s="35">
        <f>IF(OR($A71="",G71="Done",G71="Ongoing",H71=""),"",H71-TODAY())</f>
        <v/>
      </c>
      <c r="K71" s="30">
        <f>IF($A71="","",IF(G71="Done","Done",IF(G71="Ongoing","Ongoing",IF(H71="","No date",IF(H71&lt;TODAY(),"Overdue",IF(H71-TODAY()&lt;=3,"Due soon","On track"))))))</f>
        <v/>
      </c>
      <c r="L71" s="36" t="n"/>
      <c r="N71" s="37">
        <f>IF(OR($A71="",G71="Done",G71="Ongoing",H71=""),"",H71+ROW()/100000)</f>
        <v/>
      </c>
    </row>
    <row r="72">
      <c r="A72" s="30" t="n"/>
      <c r="B72" s="31" t="n"/>
      <c r="C72" s="32" t="n"/>
      <c r="D72" s="31" t="n"/>
      <c r="E72" s="31" t="n"/>
      <c r="F72" s="33" t="n"/>
      <c r="G72" s="33" t="n"/>
      <c r="H72" s="34" t="n"/>
      <c r="I72" s="34" t="n"/>
      <c r="J72" s="35">
        <f>IF(OR($A72="",G72="Done",G72="Ongoing",H72=""),"",H72-TODAY())</f>
        <v/>
      </c>
      <c r="K72" s="30">
        <f>IF($A72="","",IF(G72="Done","Done",IF(G72="Ongoing","Ongoing",IF(H72="","No date",IF(H72&lt;TODAY(),"Overdue",IF(H72-TODAY()&lt;=3,"Due soon","On track"))))))</f>
        <v/>
      </c>
      <c r="L72" s="36" t="n"/>
      <c r="N72" s="37">
        <f>IF(OR($A72="",G72="Done",G72="Ongoing",H72=""),"",H72+ROW()/100000)</f>
        <v/>
      </c>
    </row>
    <row r="73">
      <c r="A73" s="30" t="n"/>
      <c r="B73" s="31" t="n"/>
      <c r="C73" s="32" t="n"/>
      <c r="D73" s="31" t="n"/>
      <c r="E73" s="31" t="n"/>
      <c r="F73" s="33" t="n"/>
      <c r="G73" s="33" t="n"/>
      <c r="H73" s="34" t="n"/>
      <c r="I73" s="34" t="n"/>
      <c r="J73" s="35">
        <f>IF(OR($A73="",G73="Done",G73="Ongoing",H73=""),"",H73-TODAY())</f>
        <v/>
      </c>
      <c r="K73" s="30">
        <f>IF($A73="","",IF(G73="Done","Done",IF(G73="Ongoing","Ongoing",IF(H73="","No date",IF(H73&lt;TODAY(),"Overdue",IF(H73-TODAY()&lt;=3,"Due soon","On track"))))))</f>
        <v/>
      </c>
      <c r="L73" s="36" t="n"/>
      <c r="N73" s="37">
        <f>IF(OR($A73="",G73="Done",G73="Ongoing",H73=""),"",H73+ROW()/100000)</f>
        <v/>
      </c>
    </row>
    <row r="74">
      <c r="A74" s="30" t="n"/>
      <c r="B74" s="31" t="n"/>
      <c r="C74" s="32" t="n"/>
      <c r="D74" s="31" t="n"/>
      <c r="E74" s="31" t="n"/>
      <c r="F74" s="33" t="n"/>
      <c r="G74" s="33" t="n"/>
      <c r="H74" s="34" t="n"/>
      <c r="I74" s="34" t="n"/>
      <c r="J74" s="35">
        <f>IF(OR($A74="",G74="Done",G74="Ongoing",H74=""),"",H74-TODAY())</f>
        <v/>
      </c>
      <c r="K74" s="30">
        <f>IF($A74="","",IF(G74="Done","Done",IF(G74="Ongoing","Ongoing",IF(H74="","No date",IF(H74&lt;TODAY(),"Overdue",IF(H74-TODAY()&lt;=3,"Due soon","On track"))))))</f>
        <v/>
      </c>
      <c r="L74" s="36" t="n"/>
      <c r="N74" s="37">
        <f>IF(OR($A74="",G74="Done",G74="Ongoing",H74=""),"",H74+ROW()/100000)</f>
        <v/>
      </c>
    </row>
    <row r="75">
      <c r="A75" s="30" t="n"/>
      <c r="B75" s="31" t="n"/>
      <c r="C75" s="32" t="n"/>
      <c r="D75" s="31" t="n"/>
      <c r="E75" s="31" t="n"/>
      <c r="F75" s="33" t="n"/>
      <c r="G75" s="33" t="n"/>
      <c r="H75" s="34" t="n"/>
      <c r="I75" s="34" t="n"/>
      <c r="J75" s="35">
        <f>IF(OR($A75="",G75="Done",G75="Ongoing",H75=""),"",H75-TODAY())</f>
        <v/>
      </c>
      <c r="K75" s="30">
        <f>IF($A75="","",IF(G75="Done","Done",IF(G75="Ongoing","Ongoing",IF(H75="","No date",IF(H75&lt;TODAY(),"Overdue",IF(H75-TODAY()&lt;=3,"Due soon","On track"))))))</f>
        <v/>
      </c>
      <c r="L75" s="36" t="n"/>
      <c r="N75" s="37">
        <f>IF(OR($A75="",G75="Done",G75="Ongoing",H75=""),"",H75+ROW()/100000)</f>
        <v/>
      </c>
    </row>
    <row r="76">
      <c r="A76" s="30" t="n"/>
      <c r="B76" s="31" t="n"/>
      <c r="C76" s="32" t="n"/>
      <c r="D76" s="31" t="n"/>
      <c r="E76" s="31" t="n"/>
      <c r="F76" s="33" t="n"/>
      <c r="G76" s="33" t="n"/>
      <c r="H76" s="34" t="n"/>
      <c r="I76" s="34" t="n"/>
      <c r="J76" s="35">
        <f>IF(OR($A76="",G76="Done",G76="Ongoing",H76=""),"",H76-TODAY())</f>
        <v/>
      </c>
      <c r="K76" s="30">
        <f>IF($A76="","",IF(G76="Done","Done",IF(G76="Ongoing","Ongoing",IF(H76="","No date",IF(H76&lt;TODAY(),"Overdue",IF(H76-TODAY()&lt;=3,"Due soon","On track"))))))</f>
        <v/>
      </c>
      <c r="L76" s="36" t="n"/>
      <c r="N76" s="37">
        <f>IF(OR($A76="",G76="Done",G76="Ongoing",H76=""),"",H76+ROW()/100000)</f>
        <v/>
      </c>
    </row>
    <row r="77">
      <c r="A77" s="30" t="n"/>
      <c r="B77" s="31" t="n"/>
      <c r="C77" s="32" t="n"/>
      <c r="D77" s="31" t="n"/>
      <c r="E77" s="31" t="n"/>
      <c r="F77" s="33" t="n"/>
      <c r="G77" s="33" t="n"/>
      <c r="H77" s="34" t="n"/>
      <c r="I77" s="34" t="n"/>
      <c r="J77" s="35">
        <f>IF(OR($A77="",G77="Done",G77="Ongoing",H77=""),"",H77-TODAY())</f>
        <v/>
      </c>
      <c r="K77" s="30">
        <f>IF($A77="","",IF(G77="Done","Done",IF(G77="Ongoing","Ongoing",IF(H77="","No date",IF(H77&lt;TODAY(),"Overdue",IF(H77-TODAY()&lt;=3,"Due soon","On track"))))))</f>
        <v/>
      </c>
      <c r="L77" s="36" t="n"/>
      <c r="N77" s="37">
        <f>IF(OR($A77="",G77="Done",G77="Ongoing",H77=""),"",H77+ROW()/100000)</f>
        <v/>
      </c>
    </row>
    <row r="78">
      <c r="A78" s="30" t="n"/>
      <c r="B78" s="31" t="n"/>
      <c r="C78" s="32" t="n"/>
      <c r="D78" s="31" t="n"/>
      <c r="E78" s="31" t="n"/>
      <c r="F78" s="33" t="n"/>
      <c r="G78" s="33" t="n"/>
      <c r="H78" s="34" t="n"/>
      <c r="I78" s="34" t="n"/>
      <c r="J78" s="35">
        <f>IF(OR($A78="",G78="Done",G78="Ongoing",H78=""),"",H78-TODAY())</f>
        <v/>
      </c>
      <c r="K78" s="30">
        <f>IF($A78="","",IF(G78="Done","Done",IF(G78="Ongoing","Ongoing",IF(H78="","No date",IF(H78&lt;TODAY(),"Overdue",IF(H78-TODAY()&lt;=3,"Due soon","On track"))))))</f>
        <v/>
      </c>
      <c r="L78" s="36" t="n"/>
      <c r="N78" s="37">
        <f>IF(OR($A78="",G78="Done",G78="Ongoing",H78=""),"",H78+ROW()/100000)</f>
        <v/>
      </c>
    </row>
    <row r="79">
      <c r="A79" s="30" t="n"/>
      <c r="B79" s="31" t="n"/>
      <c r="C79" s="32" t="n"/>
      <c r="D79" s="31" t="n"/>
      <c r="E79" s="31" t="n"/>
      <c r="F79" s="33" t="n"/>
      <c r="G79" s="33" t="n"/>
      <c r="H79" s="34" t="n"/>
      <c r="I79" s="34" t="n"/>
      <c r="J79" s="35">
        <f>IF(OR($A79="",G79="Done",G79="Ongoing",H79=""),"",H79-TODAY())</f>
        <v/>
      </c>
      <c r="K79" s="30">
        <f>IF($A79="","",IF(G79="Done","Done",IF(G79="Ongoing","Ongoing",IF(H79="","No date",IF(H79&lt;TODAY(),"Overdue",IF(H79-TODAY()&lt;=3,"Due soon","On track"))))))</f>
        <v/>
      </c>
      <c r="L79" s="36" t="n"/>
      <c r="N79" s="37">
        <f>IF(OR($A79="",G79="Done",G79="Ongoing",H79=""),"",H79+ROW()/100000)</f>
        <v/>
      </c>
    </row>
    <row r="80">
      <c r="A80" s="30" t="n"/>
      <c r="B80" s="31" t="n"/>
      <c r="C80" s="32" t="n"/>
      <c r="D80" s="31" t="n"/>
      <c r="E80" s="31" t="n"/>
      <c r="F80" s="33" t="n"/>
      <c r="G80" s="33" t="n"/>
      <c r="H80" s="34" t="n"/>
      <c r="I80" s="34" t="n"/>
      <c r="J80" s="35">
        <f>IF(OR($A80="",G80="Done",G80="Ongoing",H80=""),"",H80-TODAY())</f>
        <v/>
      </c>
      <c r="K80" s="30">
        <f>IF($A80="","",IF(G80="Done","Done",IF(G80="Ongoing","Ongoing",IF(H80="","No date",IF(H80&lt;TODAY(),"Overdue",IF(H80-TODAY()&lt;=3,"Due soon","On track"))))))</f>
        <v/>
      </c>
      <c r="L80" s="36" t="n"/>
      <c r="N80" s="37">
        <f>IF(OR($A80="",G80="Done",G80="Ongoing",H80=""),"",H80+ROW()/100000)</f>
        <v/>
      </c>
    </row>
  </sheetData>
  <autoFilter ref="A4:L80"/>
  <mergeCells count="2">
    <mergeCell ref="A2:M2"/>
    <mergeCell ref="A1:M1"/>
  </mergeCells>
  <conditionalFormatting sqref="A5:L80">
    <cfRule type="expression" priority="1" dxfId="15" stopIfTrue="1">
      <formula>$G5="Done"</formula>
    </cfRule>
  </conditionalFormatting>
  <conditionalFormatting sqref="F5:F80">
    <cfRule type="expression" priority="8" dxfId="7">
      <formula>F5="High"</formula>
    </cfRule>
  </conditionalFormatting>
  <conditionalFormatting sqref="G5:G80">
    <cfRule type="expression" priority="5" dxfId="5">
      <formula>G5="In progress"</formula>
    </cfRule>
    <cfRule type="expression" priority="6" dxfId="12">
      <formula>G5="Waiting"</formula>
    </cfRule>
    <cfRule type="expression" priority="7" dxfId="11">
      <formula>G5="Ongoing"</formula>
    </cfRule>
  </conditionalFormatting>
  <conditionalFormatting sqref="K5:K80">
    <cfRule type="expression" priority="2" dxfId="1">
      <formula>K5="Overdue"</formula>
    </cfRule>
    <cfRule type="expression" priority="3" dxfId="4">
      <formula>K5="Due soon"</formula>
    </cfRule>
    <cfRule type="expression" priority="4" dxfId="8">
      <formula>K5="On track"</formula>
    </cfRule>
  </conditionalFormatting>
  <dataValidations count="4">
    <dataValidation sqref="G5:G80" showDropDown="0" showInputMessage="1" showErrorMessage="1" allowBlank="1" errorTitle="Invalid entry" error="Pick a value from the list." promptTitle="Choose" prompt="Update the status of this task" type="list">
      <formula1>"Not started,In progress,Waiting,Ongoing,Done"</formula1>
    </dataValidation>
    <dataValidation sqref="F5:F80" showDropDown="0" showInputMessage="0" showErrorMessage="1" allowBlank="1" errorTitle="Invalid entry" error="Pick a value from the list." type="list">
      <formula1>"High,Medium,Low"</formula1>
    </dataValidation>
    <dataValidation sqref="B5:B80" showDropDown="0" showInputMessage="0" showErrorMessage="1" allowBlank="1" errorTitle="Invalid entry" error="Pick a value from the list." type="list">
      <formula1>"1. TA Requirements,2. Lab Safety &amp; Access,3. Supplies &amp; Chemicals,4. DO Measurement Method,5. Lab &amp; Project Setup,6. Academic &amp; Assessment,7. Student Project Guidance"</formula1>
    </dataValidation>
    <dataValidation sqref="H5:I80" showDropDown="0" showInputMessage="0" showErrorMessage="1" allowBlank="1" error="Enter a date (e.g., 9/30/2026)." type="date" operator="greaterThan">
      <formula1>DATE(2026,1,1)</formula1>
    </dataValidation>
  </dataValidations>
  <pageMargins left="0.75" right="0.75" top="1" bottom="1" header="0.5" footer="0.5"/>
  <pageSetup orientation="landscape" fitToHeight="0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N124"/>
  <sheetViews>
    <sheetView showGridLines="0" tabSelected="1" workbookViewId="0">
      <pane xSplit="2" ySplit="5" topLeftCell="C9" activePane="bottomRight" state="frozen"/>
      <selection pane="topRight" activeCell="A1" sqref="A1"/>
      <selection pane="bottomLeft" activeCell="A1" sqref="A1"/>
      <selection pane="bottomRight" activeCell="L25" sqref="L25"/>
    </sheetView>
  </sheetViews>
  <sheetFormatPr baseColWidth="8" defaultRowHeight="15"/>
  <cols>
    <col width="5" customWidth="1" style="81" min="1" max="1"/>
    <col width="49.42578125" customWidth="1" style="81" min="2" max="2"/>
    <col width="16" customWidth="1" style="81" min="3" max="3"/>
    <col width="15" customWidth="1" style="81" min="4" max="4"/>
    <col width="12" customWidth="1" style="81" min="5" max="5"/>
    <col width="14" customWidth="1" style="81" min="6" max="6"/>
    <col width="12" customWidth="1" style="81" min="7" max="7"/>
    <col width="11" customWidth="1" style="81" min="8" max="8"/>
    <col width="12" customWidth="1" style="81" min="9" max="9"/>
    <col width="13" customWidth="1" style="81" min="10" max="10"/>
    <col width="14" customWidth="1" style="81" min="11" max="11"/>
    <col width="16" customWidth="1" style="81" min="12" max="12"/>
    <col width="52" customWidth="1" style="81" min="13" max="13"/>
    <col width="30" customWidth="1" style="81" min="14" max="14"/>
  </cols>
  <sheetData>
    <row r="1" ht="30" customHeight="1" s="81">
      <c r="A1" s="82" t="inlineStr">
        <is>
          <t>Supplies &amp; Orders + Na₂S₂O₄ Dose Calculator</t>
        </is>
      </c>
    </row>
    <row r="2" ht="28.15" customHeight="1" s="81">
      <c r="A2" s="80" t="inlineStr">
        <is>
          <t>Part A: what to get (check the lab stockroom first). Part B: sodium dithionite needed to deoxygenate 1 L of water, scaled to the class. Part C: methylene blue stock for the dye-removal half. Blue cells = inputs.</t>
        </is>
      </c>
    </row>
    <row r="4" ht="22.15" customHeight="1" s="81">
      <c r="A4" s="90" t="inlineStr">
        <is>
          <t>PART A — Shopping list</t>
        </is>
      </c>
    </row>
    <row r="5" ht="31.9" customHeight="1" s="81">
      <c r="A5" s="94" t="inlineStr">
        <is>
          <t>#</t>
        </is>
      </c>
      <c r="B5" s="94" t="inlineStr">
        <is>
          <t>Item</t>
        </is>
      </c>
      <c r="C5" s="94" t="inlineStr">
        <is>
          <t>Used for</t>
        </is>
      </c>
      <c r="D5" s="94" t="inlineStr">
        <is>
          <t>Vendor</t>
        </is>
      </c>
      <c r="E5" s="94" t="inlineStr">
        <is>
          <t>Catalog #</t>
        </is>
      </c>
      <c r="F5" s="94" t="inlineStr">
        <is>
          <t>Pack size</t>
        </is>
      </c>
      <c r="G5" s="94" t="inlineStr">
        <is>
          <t>Qty</t>
        </is>
      </c>
      <c r="H5" s="94" t="inlineStr">
        <is>
          <t>Unit Price
(USD)</t>
        </is>
      </c>
      <c r="I5" s="94" t="inlineStr">
        <is>
          <t>Subtotal
(USD)</t>
        </is>
      </c>
      <c r="J5" s="94" t="inlineStr">
        <is>
          <t>Link</t>
        </is>
      </c>
      <c r="K5" s="94" t="inlineStr">
        <is>
          <t>Priority</t>
        </is>
      </c>
      <c r="L5" s="94" t="inlineStr">
        <is>
          <t>Status</t>
        </is>
      </c>
      <c r="M5" s="94" t="inlineStr">
        <is>
          <t>Notes</t>
        </is>
      </c>
    </row>
    <row r="6" ht="84" customHeight="1" s="81">
      <c r="A6" s="38" t="n">
        <v>1</v>
      </c>
      <c r="B6" s="32" t="inlineStr">
        <is>
          <t>Sodium dithionite, Purified (Reagents brand), wide-mouth amber glass bottle</t>
        </is>
      </c>
      <c r="C6" s="31" t="inlineStr">
        <is>
          <t>Oxygenation — removes dissolved O₂</t>
        </is>
      </c>
      <c r="D6" s="31" t="inlineStr">
        <is>
          <t>Cole-Parmer</t>
        </is>
      </c>
      <c r="E6" s="38" t="inlineStr">
        <is>
          <t>UX-78919-04 (Mfr C2316300-500C2)</t>
        </is>
      </c>
      <c r="F6" s="31" t="inlineStr">
        <is>
          <t>500 g</t>
        </is>
      </c>
      <c r="G6" s="39" t="n">
        <v>1</v>
      </c>
      <c r="H6" s="40" t="n">
        <v>68.59999999999999</v>
      </c>
      <c r="I6" s="41">
        <f>IF(AND(ISNUMBER(G6),ISNUMBER(H6)),G6*H6,"")</f>
        <v/>
      </c>
      <c r="J6" s="42" t="inlineStr">
        <is>
          <t>Cole-Parmer page</t>
        </is>
      </c>
      <c r="K6" s="38" t="inlineStr">
        <is>
          <t>Must have</t>
        </is>
      </c>
      <c r="L6" s="39" t="inlineStr">
        <is>
          <t>To order</t>
        </is>
      </c>
      <c r="M6" s="31" t="inlineStr">
        <is>
          <t>Chosen vendor. Purity not stated on the page ("Purified") — enter the assay from the Certificate of Analysis in Part B step 9 (currently 82.5%, the Sigma 157953 value). Class needs only ~0.65 g per run; keep the bottle tightly closed and dry and date it when opened. Normally hazmat (UN1384, class 4.2) — confirm shipping cost at checkout. Cheaper alternative: Sigma 157953-5G, 5 g, $46.70.</t>
        </is>
      </c>
    </row>
    <row r="7" ht="55.9" customHeight="1" s="81">
      <c r="A7" s="38" t="n">
        <v>2</v>
      </c>
      <c r="B7" s="32" t="inlineStr">
        <is>
          <t>Methylene Blue hydrate (Sigma M4159)</t>
        </is>
      </c>
      <c r="C7" s="31" t="inlineStr">
        <is>
          <t>Dye-removal half (+ optional O₂ color indicator)</t>
        </is>
      </c>
      <c r="D7" s="31" t="inlineStr">
        <is>
          <t>Sigma-Aldrich</t>
        </is>
      </c>
      <c r="E7" s="38" t="inlineStr">
        <is>
          <t>M4159-25G</t>
        </is>
      </c>
      <c r="F7" s="31" t="inlineStr">
        <is>
          <t>25 g</t>
        </is>
      </c>
      <c r="G7" s="39" t="n">
        <v>1</v>
      </c>
      <c r="H7" s="40" t="n">
        <v>53.97</v>
      </c>
      <c r="I7" s="41">
        <f>IF(AND(ISNUMBER(G7),ISNUMBER(H7)),G7*H7,"")</f>
        <v/>
      </c>
      <c r="J7" s="42" t="inlineStr">
        <is>
          <t>Sigma-Aldrich B2B page</t>
        </is>
      </c>
      <c r="K7" s="38" t="inlineStr">
        <is>
          <t>Must have</t>
        </is>
      </c>
      <c r="L7" s="39" t="inlineStr">
        <is>
          <t>To order</t>
        </is>
      </c>
      <c r="M7" s="31" t="inlineStr">
        <is>
          <t>Chosen product (TTU B2B price). Check the dye content on the lot Certificate of Analysis and enter it in Part C step 7 (currently 97%, the value for 66720). 25 g is far more than needed (~0.26 g per 1 g/L stock batch).</t>
        </is>
      </c>
    </row>
    <row r="8" ht="109.9" customHeight="1" s="81">
      <c r="A8" s="38" t="n">
        <v>3</v>
      </c>
      <c r="B8" s="32" t="inlineStr">
        <is>
          <t>1000 mL wide-mouth PP bottle with leak-proof screw cap (United Scientific 33310)</t>
        </is>
      </c>
      <c r="C8" s="31" t="inlineStr">
        <is>
          <t>Oxygenation test vessel (1 L)</t>
        </is>
      </c>
      <c r="D8" s="31" t="inlineStr">
        <is>
          <t>Amazon</t>
        </is>
      </c>
      <c r="E8" s="38" t="inlineStr">
        <is>
          <t>B07DHWGFJM</t>
        </is>
      </c>
      <c r="F8" s="31" t="inlineStr">
        <is>
          <t>1 bottle</t>
        </is>
      </c>
      <c r="G8" s="39" t="n">
        <v>12</v>
      </c>
      <c r="H8" s="40" t="n">
        <v>5.99</v>
      </c>
      <c r="I8" s="41">
        <f>IF(AND(ISNUMBER(G8),ISNUMBER(H8)),G8*H8,"")</f>
        <v/>
      </c>
      <c r="J8" s="42" t="inlineStr">
        <is>
          <t>Amazon (previous TA's example)</t>
        </is>
      </c>
      <c r="K8" s="38" t="inlineStr">
        <is>
          <t>Must have</t>
        </is>
      </c>
      <c r="L8" s="39" t="inlineStr">
        <is>
          <t>To order</t>
        </is>
      </c>
      <c r="M8" s="31" t="inlineStr">
        <is>
          <t>Default = the previous TA's example: true 1000 mL, 63-415 cap with seal ring, cap can be drilled for a port. Translucent → a color indicator is harder to see; if you use one, switch to item 4 (Qty here 0, Qty there 1, Part B volume 0.9 L). Qty: meeting said 11 (likely one per group for the whole class: 52 ÷ 5 → 11); previous TA planned 12 (11 + 1 spare). Same spec: US Plastic #76632, 6-pack $33.10.</t>
        </is>
      </c>
    </row>
    <row r="9" ht="70.15000000000001" customHeight="1" s="81">
      <c r="A9" s="38" t="n">
        <v>4</v>
      </c>
      <c r="B9" s="32" t="inlineStr">
        <is>
          <t>ALTERNATIVE: 32 oz clear PET jars with screw lids, 12-pack (OMNISAFE)</t>
        </is>
      </c>
      <c r="C9" s="31" t="inlineStr">
        <is>
          <t>Oxygenation vessel — cheaper &amp; clear</t>
        </is>
      </c>
      <c r="D9" s="31" t="inlineStr">
        <is>
          <t>Amazon</t>
        </is>
      </c>
      <c r="E9" s="38" t="inlineStr">
        <is>
          <t>B0CLXQCS45</t>
        </is>
      </c>
      <c r="F9" s="31" t="inlineStr">
        <is>
          <t>12 jars + lids</t>
        </is>
      </c>
      <c r="G9" s="39" t="n">
        <v>0</v>
      </c>
      <c r="H9" s="40" t="n">
        <v>28.99</v>
      </c>
      <c r="I9" s="41">
        <f>IF(AND(ISNUMBER(G9),ISNUMBER(H9)),G9*H9,"")</f>
        <v/>
      </c>
      <c r="J9" s="42" t="inlineStr">
        <is>
          <t>Amazon</t>
        </is>
      </c>
      <c r="K9" s="38" t="inlineStr">
        <is>
          <t>Optional</t>
        </is>
      </c>
      <c r="L9" s="39" t="n"/>
      <c r="M9" s="31" t="inlineStr">
        <is>
          <t>Choose EITHER this OR the PP bottles. Clear walls (best for a color indicator) and PET is a better O₂ barrier — but 32 oz = 946 mL, so use ~0.9 L per jar (change 'Water volume per container' in Part B). 'Airtight' is a vendor claim — test one jar first.</t>
        </is>
      </c>
    </row>
    <row r="10" ht="55.9" customHeight="1" s="81">
      <c r="A10" s="38" t="n">
        <v>5</v>
      </c>
      <c r="B10" s="32" t="inlineStr">
        <is>
          <t>Replacement membrane cap for the damaged DO probe (Vernier MEM — if the probe is a Vernier DO-BTA)</t>
        </is>
      </c>
      <c r="C10" s="31" t="inlineStr">
        <is>
          <t>Repair the existing DO probe (cheapest fix)</t>
        </is>
      </c>
      <c r="D10" s="31" t="inlineStr">
        <is>
          <t>Vernier</t>
        </is>
      </c>
      <c r="E10" s="38" t="inlineStr">
        <is>
          <t>MEM</t>
        </is>
      </c>
      <c r="F10" s="31" t="inlineStr">
        <is>
          <t>1 cap</t>
        </is>
      </c>
      <c r="G10" s="39" t="n">
        <v>1</v>
      </c>
      <c r="H10" s="40" t="n">
        <v>19</v>
      </c>
      <c r="I10" s="41">
        <f>IF(AND(ISNUMBER(G10),ISNUMBER(H10)),G10*H10,"")</f>
        <v/>
      </c>
      <c r="J10" s="42" t="inlineStr">
        <is>
          <t>Vernier</t>
        </is>
      </c>
      <c r="K10" s="38" t="inlineStr">
        <is>
          <t>Depends on DO method</t>
        </is>
      </c>
      <c r="L10" s="39" t="inlineStr">
        <is>
          <t>Check lab first</t>
        </is>
      </c>
      <c r="M10" s="31" t="inlineStr">
        <is>
          <t>Check brand/model of the broken probe first. If only the membrane/electrolyte failed, a new cap + filling solution may fix it. Clark-type probes consume O₂ and need stirring.</t>
        </is>
      </c>
    </row>
    <row r="11" ht="55.9" customHeight="1" s="81">
      <c r="A11" s="38" t="n">
        <v>6</v>
      </c>
      <c r="B11" s="32" t="inlineStr">
        <is>
          <t>Optical dissolved-oxygen probe (Vernier Go Direct GDX-ODO)</t>
        </is>
      </c>
      <c r="C11" s="31" t="inlineStr">
        <is>
          <t>Quantitative DO in the sealed container</t>
        </is>
      </c>
      <c r="D11" s="31" t="inlineStr">
        <is>
          <t>Vernier</t>
        </is>
      </c>
      <c r="E11" s="38" t="inlineStr">
        <is>
          <t>GDX-ODO</t>
        </is>
      </c>
      <c r="F11" s="31" t="inlineStr">
        <is>
          <t>1 probe</t>
        </is>
      </c>
      <c r="G11" s="39" t="n">
        <v>1</v>
      </c>
      <c r="H11" s="40" t="n">
        <v>409</v>
      </c>
      <c r="I11" s="41">
        <f>IF(AND(ISNUMBER(G11),ISNUMBER(H11)),G11*H11,"")</f>
        <v/>
      </c>
      <c r="J11" s="42" t="inlineStr">
        <is>
          <t>Vernier</t>
        </is>
      </c>
      <c r="K11" s="38" t="inlineStr">
        <is>
          <t>Depends on DO method</t>
        </is>
      </c>
      <c r="L11" s="39" t="inlineStr">
        <is>
          <t>Check lab first</t>
        </is>
      </c>
      <c r="M11" s="31" t="inlineStr">
        <is>
          <t>Department/TA purchase, not a group budget item. 90% reading in 40 s, factory calibrated, no stirring, does not consume O₂. Seal it through the lid with a stopper/grommet. 1–2 probes shared across groups.</t>
        </is>
      </c>
    </row>
    <row r="12" ht="42" customHeight="1" s="81">
      <c r="A12" s="38" t="n">
        <v>7</v>
      </c>
      <c r="B12" s="32" t="inlineStr">
        <is>
          <t>Dissolved-oxygen colorimetric kit 1–12 ppm (CHEMetrics CHEMets K-7512)</t>
        </is>
      </c>
      <c r="C12" s="31" t="inlineStr">
        <is>
          <t>Spot-check DO (start / end)</t>
        </is>
      </c>
      <c r="D12" s="31" t="inlineStr">
        <is>
          <t>CHEMetrics (via MegaDepot)</t>
        </is>
      </c>
      <c r="E12" s="38" t="inlineStr">
        <is>
          <t>K-7512</t>
        </is>
      </c>
      <c r="F12" s="31" t="inlineStr">
        <is>
          <t>30 tests</t>
        </is>
      </c>
      <c r="G12" s="39" t="n">
        <v>1</v>
      </c>
      <c r="H12" s="40" t="n">
        <v>69.98999999999999</v>
      </c>
      <c r="I12" s="41">
        <f>IF(AND(ISNUMBER(G12),ISNUMBER(H12)),G12*H12,"")</f>
        <v/>
      </c>
      <c r="J12" s="42" t="inlineStr">
        <is>
          <t>CHEMetrics</t>
        </is>
      </c>
      <c r="K12" s="38" t="inlineStr">
        <is>
          <t>Depends on DO method</t>
        </is>
      </c>
      <c r="L12" s="39" t="inlineStr">
        <is>
          <t>Check lab first</t>
        </is>
      </c>
      <c r="M12" s="31" t="inlineStr">
        <is>
          <t>~2 min per test, no instrument. Must draw a ~25 mL sample (opens the closed system); ±1 ppm resolution; leftover dithionite biases low.</t>
        </is>
      </c>
    </row>
    <row r="13" ht="42" customHeight="1" s="81">
      <c r="A13" s="38" t="n">
        <v>8</v>
      </c>
      <c r="B13" s="32" t="inlineStr">
        <is>
          <t>Dissolved-oxygen colorimetric kit 0–1 ppm (CHEMetrics CHEMets K-7501)</t>
        </is>
      </c>
      <c r="C13" s="31" t="inlineStr">
        <is>
          <t>Confirm water is near 0 ppm after dithionite</t>
        </is>
      </c>
      <c r="D13" s="31" t="inlineStr">
        <is>
          <t>CHEMetrics (via MegaDepot)</t>
        </is>
      </c>
      <c r="E13" s="38" t="inlineStr">
        <is>
          <t>K-7501</t>
        </is>
      </c>
      <c r="F13" s="31" t="inlineStr">
        <is>
          <t>30 tests</t>
        </is>
      </c>
      <c r="G13" s="39" t="n">
        <v>1</v>
      </c>
      <c r="H13" s="40" t="n">
        <v>70.3</v>
      </c>
      <c r="I13" s="41">
        <f>IF(AND(ISNUMBER(G13),ISNUMBER(H13)),G13*H13,"")</f>
        <v/>
      </c>
      <c r="J13" s="42" t="inlineStr">
        <is>
          <t>CHEMetrics</t>
        </is>
      </c>
      <c r="K13" s="38" t="inlineStr">
        <is>
          <t>Depends on DO method</t>
        </is>
      </c>
      <c r="L13" s="39" t="inlineStr">
        <is>
          <t>Check lab first</t>
        </is>
      </c>
      <c r="M13" s="31" t="inlineStr">
        <is>
          <t>Checks that deoxygenation worked (0–1 ppm). Sampling must avoid air contact (syringe through a septum).</t>
        </is>
      </c>
    </row>
    <row r="14" ht="42" customHeight="1" s="81">
      <c r="A14" s="38" t="n">
        <v>9</v>
      </c>
      <c r="B14" s="32" t="inlineStr">
        <is>
          <t>Resazurin sodium salt (optional O₂ indicator, pink ↔ colorless)</t>
        </is>
      </c>
      <c r="C14" s="31" t="inlineStr">
        <is>
          <t>Oxygenation — alternative color indicator</t>
        </is>
      </c>
      <c r="D14" s="31" t="inlineStr">
        <is>
          <t>Sigma-Aldrich</t>
        </is>
      </c>
      <c r="E14" s="38" t="inlineStr">
        <is>
          <t>R7017-1G</t>
        </is>
      </c>
      <c r="F14" s="31" t="inlineStr">
        <is>
          <t>1 g</t>
        </is>
      </c>
      <c r="G14" s="39" t="n">
        <v>1</v>
      </c>
      <c r="H14" s="40" t="n">
        <v>44.1</v>
      </c>
      <c r="I14" s="41">
        <f>IF(AND(ISNUMBER(G14),ISNUMBER(H14)),G14*H14,"")</f>
        <v/>
      </c>
      <c r="J14" s="42" t="inlineStr">
        <is>
          <t>Sigma-Aldrich page</t>
        </is>
      </c>
      <c r="K14" s="38" t="inlineStr">
        <is>
          <t>Optional</t>
        </is>
      </c>
      <c r="L14" s="39" t="inlineStr">
        <is>
          <t>Check lab first</t>
        </is>
      </c>
      <c r="M14" s="31" t="inlineStr">
        <is>
          <t>Only if you prefer a pink indicator (avoids confusion with the methylene-blue half). Qualitative only — shows O₂ ingress, not mg/L.</t>
        </is>
      </c>
    </row>
    <row r="15" ht="55.9" customHeight="1" s="81">
      <c r="A15" s="38" t="n">
        <v>10</v>
      </c>
      <c r="B15" s="32" t="inlineStr">
        <is>
          <t>Self-sealing butyl injection ports, 7 mm (1/4 in) hole</t>
        </is>
      </c>
      <c r="C15" s="31" t="inlineStr">
        <is>
          <t>Sampling port through the lid</t>
        </is>
      </c>
      <c r="D15" s="31" t="inlineStr">
        <is>
          <t>Amazon</t>
        </is>
      </c>
      <c r="E15" s="38" t="inlineStr">
        <is>
          <t>B08XJJ4VV3</t>
        </is>
      </c>
      <c r="F15" s="31" t="inlineStr">
        <is>
          <t>100 ports</t>
        </is>
      </c>
      <c r="G15" s="39" t="n">
        <v>1</v>
      </c>
      <c r="H15" s="40" t="n">
        <v>6.49</v>
      </c>
      <c r="I15" s="41">
        <f>IF(AND(ISNUMBER(G15),ISNUMBER(H15)),G15*H15,"")</f>
        <v/>
      </c>
      <c r="J15" s="42" t="inlineStr">
        <is>
          <t>Amazon</t>
        </is>
      </c>
      <c r="K15" s="38" t="inlineStr">
        <is>
          <t>Depends on DO method</t>
        </is>
      </c>
      <c r="L15" s="39" t="inlineStr">
        <is>
          <t>Check lab first</t>
        </is>
      </c>
      <c r="M15" s="31" t="inlineStr">
        <is>
          <t>Only if samples are drawn through the lid. Solid rubber needs a sharp needle (blunt tips core the rubber) — for needle-free sampling use a Luer-lock stopcock/bulkhead instead. Seal with silicone if the cap is thick.</t>
        </is>
      </c>
    </row>
    <row r="16" ht="28.15" customHeight="1" s="81">
      <c r="A16" s="38" t="n">
        <v>11</v>
      </c>
      <c r="B16" s="32" t="inlineStr">
        <is>
          <t>Disposable 10 mL Luer-lock syringes, no needle</t>
        </is>
      </c>
      <c r="C16" s="31" t="inlineStr">
        <is>
          <t>Sampling / dosing</t>
        </is>
      </c>
      <c r="D16" s="31" t="inlineStr">
        <is>
          <t>Amazon</t>
        </is>
      </c>
      <c r="E16" s="38" t="inlineStr">
        <is>
          <t>B0DXMYP29M</t>
        </is>
      </c>
      <c r="F16" s="31" t="inlineStr">
        <is>
          <t>100 syringes</t>
        </is>
      </c>
      <c r="G16" s="39" t="n">
        <v>1</v>
      </c>
      <c r="H16" s="40" t="n">
        <v>17.99</v>
      </c>
      <c r="I16" s="41">
        <f>IF(AND(ISNUMBER(G16),ISNUMBER(H16)),G16*H16,"")</f>
        <v/>
      </c>
      <c r="J16" s="42" t="inlineStr">
        <is>
          <t>Amazon</t>
        </is>
      </c>
      <c r="K16" s="38" t="inlineStr">
        <is>
          <t>Optional</t>
        </is>
      </c>
      <c r="L16" s="39" t="inlineStr">
        <is>
          <t>Check lab first</t>
        </is>
      </c>
      <c r="M16" s="31" t="inlineStr">
        <is>
          <t>Most teaching labs already have these.</t>
        </is>
      </c>
    </row>
    <row r="17" ht="28.15" customHeight="1" s="81">
      <c r="A17" s="38" t="n">
        <v>12</v>
      </c>
      <c r="B17" s="32" t="inlineStr">
        <is>
          <t>Plastic transfer pipettes, 3 mL graduated</t>
        </is>
      </c>
      <c r="C17" s="31" t="inlineStr">
        <is>
          <t>Adding dye / indicator</t>
        </is>
      </c>
      <c r="D17" s="31" t="inlineStr">
        <is>
          <t>Amazon</t>
        </is>
      </c>
      <c r="E17" s="38" t="inlineStr">
        <is>
          <t>B00WLIQHQ0</t>
        </is>
      </c>
      <c r="F17" s="31" t="inlineStr">
        <is>
          <t>100 pipettes</t>
        </is>
      </c>
      <c r="G17" s="39" t="n">
        <v>1</v>
      </c>
      <c r="H17" s="40" t="n">
        <v>6.19</v>
      </c>
      <c r="I17" s="41">
        <f>IF(AND(ISNUMBER(G17),ISNUMBER(H17)),G17*H17,"")</f>
        <v/>
      </c>
      <c r="J17" s="42" t="inlineStr">
        <is>
          <t>Amazon</t>
        </is>
      </c>
      <c r="K17" s="38" t="inlineStr">
        <is>
          <t>Optional</t>
        </is>
      </c>
      <c r="L17" s="39" t="inlineStr">
        <is>
          <t>Check lab first</t>
        </is>
      </c>
      <c r="M17" s="31" t="inlineStr">
        <is>
          <t>Almost always in stock in the lab.</t>
        </is>
      </c>
    </row>
    <row r="18" ht="42" customHeight="1" s="81">
      <c r="A18" s="38" t="n">
        <v>13</v>
      </c>
      <c r="B18" s="32" t="inlineStr">
        <is>
          <t>Weighing boats (7 mL + 100 mL set)</t>
        </is>
      </c>
      <c r="C18" s="31" t="inlineStr">
        <is>
          <t>Weighing Na₂S₂O₄ and methylene blue</t>
        </is>
      </c>
      <c r="D18" s="31" t="inlineStr">
        <is>
          <t>Amazon</t>
        </is>
      </c>
      <c r="E18" s="38" t="inlineStr">
        <is>
          <t>see link</t>
        </is>
      </c>
      <c r="F18" s="31" t="inlineStr">
        <is>
          <t>100 boats</t>
        </is>
      </c>
      <c r="G18" s="39" t="n">
        <v>1</v>
      </c>
      <c r="H18" s="40" t="n">
        <v>11.99</v>
      </c>
      <c r="I18" s="41">
        <f>IF(AND(ISNUMBER(G18),ISNUMBER(H18)),G18*H18,"")</f>
        <v/>
      </c>
      <c r="J18" s="42" t="inlineStr">
        <is>
          <t>Amazon</t>
        </is>
      </c>
      <c r="K18" s="38" t="inlineStr">
        <is>
          <t>Must have</t>
        </is>
      </c>
      <c r="L18" s="39" t="inlineStr">
        <is>
          <t>To order</t>
        </is>
      </c>
      <c r="M18" s="31" t="inlineStr">
        <is>
          <t>Link provided by the TA (Sep 28, 2026). Unit price is still the $11.99 from the earlier listing (B089LL2XHR) — update column H and pack size if the new listing differs.</t>
        </is>
      </c>
    </row>
    <row r="19" ht="28.15" customHeight="1" s="81">
      <c r="A19" s="38" t="n">
        <v>14</v>
      </c>
      <c r="B19" s="32" t="inlineStr">
        <is>
          <t>Parafilm M, 2 in × 250 ft</t>
        </is>
      </c>
      <c r="C19" s="31" t="inlineStr">
        <is>
          <t>Extra seal on lids / ports</t>
        </is>
      </c>
      <c r="D19" s="31" t="inlineStr">
        <is>
          <t>Amazon</t>
        </is>
      </c>
      <c r="E19" s="38" t="inlineStr">
        <is>
          <t>PM992 (672050)</t>
        </is>
      </c>
      <c r="F19" s="31" t="inlineStr">
        <is>
          <t>1 roll</t>
        </is>
      </c>
      <c r="G19" s="39" t="n">
        <v>1</v>
      </c>
      <c r="H19" s="40" t="n">
        <v>30.96</v>
      </c>
      <c r="I19" s="41">
        <f>IF(AND(ISNUMBER(G19),ISNUMBER(H19)),G19*H19,"")</f>
        <v/>
      </c>
      <c r="J19" s="42" t="inlineStr">
        <is>
          <t>Amazon</t>
        </is>
      </c>
      <c r="K19" s="38" t="inlineStr">
        <is>
          <t>Optional</t>
        </is>
      </c>
      <c r="L19" s="39" t="inlineStr">
        <is>
          <t>Check lab first</t>
        </is>
      </c>
      <c r="M19" s="31" t="inlineStr">
        <is>
          <t>Priciest small item — the lab very likely has it.</t>
        </is>
      </c>
    </row>
    <row r="20" ht="42" customHeight="1" s="81">
      <c r="A20" s="38" t="n">
        <v>15</v>
      </c>
      <c r="B20" s="32" t="inlineStr">
        <is>
          <t>Plastic cuvettes, polystyrene, 4.5 mL (340–750 nm)</t>
        </is>
      </c>
      <c r="C20" s="31" t="inlineStr">
        <is>
          <t>Dye-removal half — absorbance at 664 nm</t>
        </is>
      </c>
      <c r="D20" s="31" t="inlineStr">
        <is>
          <t>Amazon</t>
        </is>
      </c>
      <c r="E20" s="38" t="inlineStr">
        <is>
          <t>Globe 111137</t>
        </is>
      </c>
      <c r="F20" s="31" t="inlineStr">
        <is>
          <t>100 cuvettes</t>
        </is>
      </c>
      <c r="G20" s="39" t="n">
        <v>1</v>
      </c>
      <c r="H20" s="40" t="n">
        <v>23.56</v>
      </c>
      <c r="I20" s="41">
        <f>IF(AND(ISNUMBER(G20),ISNUMBER(H20)),G20*H20,"")</f>
        <v/>
      </c>
      <c r="J20" s="42" t="inlineStr">
        <is>
          <t>Amazon</t>
        </is>
      </c>
      <c r="K20" s="38" t="inlineStr">
        <is>
          <t>Optional</t>
        </is>
      </c>
      <c r="L20" s="39" t="inlineStr">
        <is>
          <t>Check lab first</t>
        </is>
      </c>
      <c r="M20" s="31" t="inlineStr">
        <is>
          <t>Only if students measure methylene blue with a spectrophotometer that takes 12.5 mm square cuvettes.</t>
        </is>
      </c>
    </row>
    <row r="21" ht="28.15" customHeight="1" s="81">
      <c r="A21" s="38" t="n">
        <v>16</v>
      </c>
      <c r="B21" s="32" t="inlineStr">
        <is>
          <t>Lab labeling tape, 1 in</t>
        </is>
      </c>
      <c r="C21" s="31" t="inlineStr">
        <is>
          <t>Label vessels by group / time</t>
        </is>
      </c>
      <c r="D21" s="31" t="inlineStr">
        <is>
          <t>Amazon</t>
        </is>
      </c>
      <c r="E21" s="38" t="inlineStr">
        <is>
          <t>B08MLGSCVD</t>
        </is>
      </c>
      <c r="F21" s="31" t="inlineStr">
        <is>
          <t>1 roll</t>
        </is>
      </c>
      <c r="G21" s="39" t="n">
        <v>1</v>
      </c>
      <c r="H21" s="40" t="n">
        <v>9.49</v>
      </c>
      <c r="I21" s="41">
        <f>IF(AND(ISNUMBER(G21),ISNUMBER(H21)),G21*H21,"")</f>
        <v/>
      </c>
      <c r="J21" s="42" t="inlineStr">
        <is>
          <t>Amazon</t>
        </is>
      </c>
      <c r="K21" s="38" t="inlineStr">
        <is>
          <t>Optional</t>
        </is>
      </c>
      <c r="L21" s="39" t="inlineStr">
        <is>
          <t>Check lab first</t>
        </is>
      </c>
      <c r="M21" s="31" t="inlineStr">
        <is>
          <t>Masking tape + marker works too.</t>
        </is>
      </c>
    </row>
    <row r="22" ht="28.15" customHeight="1" s="81">
      <c r="A22" s="38" t="n">
        <v>17</v>
      </c>
      <c r="B22" s="32" t="inlineStr">
        <is>
          <t>Lab coats</t>
        </is>
      </c>
      <c r="C22" s="31" t="inlineStr">
        <is>
          <t>Safety — all students</t>
        </is>
      </c>
      <c r="D22" s="31" t="inlineStr">
        <is>
          <t>Lab (Mike Nichols)</t>
        </is>
      </c>
      <c r="E22" s="38" t="inlineStr">
        <is>
          <t>—</t>
        </is>
      </c>
      <c r="F22" s="31" t="inlineStr">
        <is>
          <t>—</t>
        </is>
      </c>
      <c r="G22" s="39" t="n"/>
      <c r="H22" s="40" t="n"/>
      <c r="I22" s="41">
        <f>IF(AND(ISNUMBER(G22),ISNUMBER(H22)),G22*H22,"")</f>
        <v/>
      </c>
      <c r="J22" s="43" t="n"/>
      <c r="K22" s="38" t="inlineStr">
        <is>
          <t>Must have</t>
        </is>
      </c>
      <c r="L22" s="39" t="inlineStr">
        <is>
          <t>Available in lab</t>
        </is>
      </c>
      <c r="M22" s="31" t="inlineStr">
        <is>
          <t>Already available (previous TA). Verify sizes/quantity for ~52 students.</t>
        </is>
      </c>
    </row>
    <row r="23" ht="28.15" customHeight="1" s="81">
      <c r="A23" s="38" t="n">
        <v>18</v>
      </c>
      <c r="B23" s="32" t="inlineStr">
        <is>
          <t>Nitrile gloves</t>
        </is>
      </c>
      <c r="C23" s="31" t="inlineStr">
        <is>
          <t>Safety — all students</t>
        </is>
      </c>
      <c r="D23" s="31" t="inlineStr">
        <is>
          <t>Lab (Mike Nichols)</t>
        </is>
      </c>
      <c r="E23" s="38" t="inlineStr">
        <is>
          <t>—</t>
        </is>
      </c>
      <c r="F23" s="31" t="inlineStr">
        <is>
          <t>—</t>
        </is>
      </c>
      <c r="G23" s="39" t="n"/>
      <c r="H23" s="40" t="n"/>
      <c r="I23" s="41">
        <f>IF(AND(ISNUMBER(G23),ISNUMBER(H23)),G23*H23,"")</f>
        <v/>
      </c>
      <c r="J23" s="43" t="n"/>
      <c r="K23" s="38" t="inlineStr">
        <is>
          <t>Must have</t>
        </is>
      </c>
      <c r="L23" s="39" t="inlineStr">
        <is>
          <t>Available in lab</t>
        </is>
      </c>
      <c r="M23" s="31" t="inlineStr">
        <is>
          <t>Already available (previous TA).</t>
        </is>
      </c>
    </row>
    <row r="24" ht="28.15" customHeight="1" s="81">
      <c r="A24" s="38" t="n">
        <v>19</v>
      </c>
      <c r="B24" s="32" t="inlineStr">
        <is>
          <t>Safety glasses</t>
        </is>
      </c>
      <c r="C24" s="31" t="inlineStr">
        <is>
          <t>Safety — all students</t>
        </is>
      </c>
      <c r="D24" s="31" t="inlineStr">
        <is>
          <t>Lab (Mike Nichols)</t>
        </is>
      </c>
      <c r="E24" s="38" t="inlineStr">
        <is>
          <t>—</t>
        </is>
      </c>
      <c r="F24" s="31" t="inlineStr">
        <is>
          <t>—</t>
        </is>
      </c>
      <c r="G24" s="39" t="n"/>
      <c r="H24" s="40" t="n"/>
      <c r="I24" s="41">
        <f>IF(AND(ISNUMBER(G24),ISNUMBER(H24)),G24*H24,"")</f>
        <v/>
      </c>
      <c r="J24" s="43" t="n"/>
      <c r="K24" s="38" t="inlineStr">
        <is>
          <t>Must have</t>
        </is>
      </c>
      <c r="L24" s="39" t="inlineStr">
        <is>
          <t>Available in lab</t>
        </is>
      </c>
      <c r="M24" s="31" t="inlineStr">
        <is>
          <t>Pending a support/rack for storage — follow up with Mike Nichols (task T05).</t>
        </is>
      </c>
    </row>
    <row r="25" ht="55.9" customHeight="1" s="81">
      <c r="A25" s="38" t="n">
        <v>20</v>
      </c>
      <c r="B25" s="32" t="inlineStr">
        <is>
          <t>Balance (0.001 g), spatulas, 1 L volumetric flask / graduated cylinder, DI or tap water</t>
        </is>
      </c>
      <c r="C25" s="31" t="inlineStr">
        <is>
          <t>Weighing &amp; preparing solutions</t>
        </is>
      </c>
      <c r="D25" s="31" t="inlineStr">
        <is>
          <t>Lab</t>
        </is>
      </c>
      <c r="E25" s="38" t="inlineStr">
        <is>
          <t>—</t>
        </is>
      </c>
      <c r="F25" s="31" t="inlineStr">
        <is>
          <t>—</t>
        </is>
      </c>
      <c r="G25" s="39" t="n"/>
      <c r="H25" s="40" t="n"/>
      <c r="I25" s="41">
        <f>IF(AND(ISNUMBER(G25),ISNUMBER(H25)),G25*H25,"")</f>
        <v/>
      </c>
      <c r="J25" s="43" t="n"/>
      <c r="K25" s="38" t="inlineStr">
        <is>
          <t>Must have</t>
        </is>
      </c>
      <c r="L25" s="39" t="inlineStr">
        <is>
          <t>Available in lab</t>
        </is>
      </c>
      <c r="M25" s="31" t="inlineStr">
        <is>
          <t>Needed to weigh ~0.07 g Na₂S₂O₄ per liter — an analytical balance (0.001 g or better) is best.</t>
        </is>
      </c>
    </row>
    <row r="26" ht="18" customHeight="1" s="81">
      <c r="A26" s="38" t="n">
        <v>21</v>
      </c>
      <c r="B26" s="32" t="inlineStr">
        <is>
          <t>PTFE magnetic stir bar set, assorted (include 25–35 mm bars for 1 L)</t>
        </is>
      </c>
      <c r="C26" s="31" t="inlineStr">
        <is>
          <t>Mixing the 1 L bottles</t>
        </is>
      </c>
      <c r="D26" s="31" t="inlineStr">
        <is>
          <t>Amazon</t>
        </is>
      </c>
      <c r="E26" s="38" t="n"/>
      <c r="F26" s="31" t="inlineStr">
        <is>
          <t>set</t>
        </is>
      </c>
      <c r="G26" s="39" t="n">
        <v>1</v>
      </c>
      <c r="H26" s="40" t="n"/>
      <c r="I26" s="41">
        <f>IF(AND(ISNUMBER(G26),ISNUMBER(H26)),G26*H26,"")</f>
        <v/>
      </c>
      <c r="J26" s="42" t="inlineStr">
        <is>
          <t>Amazon</t>
        </is>
      </c>
      <c r="K26" s="38" t="inlineStr">
        <is>
          <t>Must have</t>
        </is>
      </c>
      <c r="L26" s="39" t="inlineStr">
        <is>
          <t>To order</t>
        </is>
      </c>
      <c r="M26" s="31" t="inlineStr">
        <is>
          <t>Link provided by the TA. Price not entered yet — type it in column H (estimate ~$10–15). Check the lab stir plates first; bars must be long enough to mix 1 L.</t>
        </is>
      </c>
    </row>
    <row r="27" ht="18" customHeight="1" s="81">
      <c r="A27" s="38" t="n">
        <v>22</v>
      </c>
      <c r="B27" s="32" t="inlineStr">
        <is>
          <t>Disposable plastic lab spatulas (PP)</t>
        </is>
      </c>
      <c r="C27" s="31" t="inlineStr">
        <is>
          <t>Weighing Na₂S₂O₄ and methylene blue</t>
        </is>
      </c>
      <c r="D27" s="31" t="inlineStr">
        <is>
          <t>Amazon</t>
        </is>
      </c>
      <c r="E27" s="38" t="n"/>
      <c r="F27" s="31" t="inlineStr">
        <is>
          <t>see link</t>
        </is>
      </c>
      <c r="G27" s="39" t="n">
        <v>1</v>
      </c>
      <c r="H27" s="40" t="n"/>
      <c r="I27" s="41">
        <f>IF(AND(ISNUMBER(G27),ISNUMBER(H27)),G27*H27,"")</f>
        <v/>
      </c>
      <c r="J27" s="42" t="inlineStr">
        <is>
          <t>Amazon</t>
        </is>
      </c>
      <c r="K27" s="38" t="inlineStr">
        <is>
          <t>Must have</t>
        </is>
      </c>
      <c r="L27" s="39" t="inlineStr">
        <is>
          <t>Check lab first</t>
        </is>
      </c>
      <c r="M27" s="31" t="inlineStr">
        <is>
          <t>Link provided by the TA. Price not entered yet — type it in column H. Row 20 lists spatulas as available in the lab; buy only if plastic ones are needed. Likely does not fit the $200 budget.</t>
        </is>
      </c>
    </row>
    <row r="28" ht="18" customHeight="1" s="81">
      <c r="A28" s="38" t="n">
        <v>23</v>
      </c>
      <c r="B28" s="32" t="n"/>
      <c r="C28" s="31" t="n"/>
      <c r="D28" s="31" t="n"/>
      <c r="E28" s="38" t="n"/>
      <c r="F28" s="31" t="n"/>
      <c r="G28" s="39" t="n"/>
      <c r="H28" s="40" t="n"/>
      <c r="I28" s="41">
        <f>IF(AND(ISNUMBER(G28),ISNUMBER(H28)),G28*H28,"")</f>
        <v/>
      </c>
      <c r="J28" s="43" t="n"/>
      <c r="K28" s="38" t="n"/>
      <c r="L28" s="39" t="n"/>
      <c r="M28" s="44" t="inlineStr">
        <is>
          <t>↑ Spare rows — type new items here; they are already included in the totals.</t>
        </is>
      </c>
    </row>
    <row r="30">
      <c r="D30" s="97" t="inlineStr">
        <is>
          <t>Must-have items to buy (est.)</t>
        </is>
      </c>
      <c r="E30" s="95" t="n"/>
      <c r="F30" s="95" t="n"/>
      <c r="G30" s="95" t="n"/>
      <c r="H30" s="96" t="n"/>
      <c r="I30" s="45">
        <f>SUMIFS(I6:I28,K6:K28,"Must have",L6:L28,"&lt;&gt;Available in lab",L6:L28,"&lt;&gt;Not needed")</f>
        <v/>
      </c>
      <c r="K30" s="21" t="inlineStr">
        <is>
          <t>Items by status</t>
        </is>
      </c>
    </row>
    <row r="31">
      <c r="D31" s="97" t="inlineStr">
        <is>
          <t>Optional + DO-method items (if all were bought)</t>
        </is>
      </c>
      <c r="E31" s="95" t="n"/>
      <c r="F31" s="95" t="n"/>
      <c r="G31" s="95" t="n"/>
      <c r="H31" s="96" t="n"/>
      <c r="I31" s="45">
        <f>SUMIFS(I6:I28,K6:K28,"&lt;&gt;Must have",L6:L28,"&lt;&gt;Available in lab",L6:L28,"&lt;&gt;Not needed")</f>
        <v/>
      </c>
      <c r="K31" s="24" t="inlineStr">
        <is>
          <t>Check lab first</t>
        </is>
      </c>
      <c r="L31" s="89">
        <f>COUNTIF($L$6:$L$28,K31)</f>
        <v/>
      </c>
    </row>
    <row r="32">
      <c r="D32" s="97" t="inlineStr">
        <is>
          <t>Everything listed (upper bound)</t>
        </is>
      </c>
      <c r="E32" s="95" t="n"/>
      <c r="F32" s="95" t="n"/>
      <c r="G32" s="95" t="n"/>
      <c r="H32" s="96" t="n"/>
      <c r="I32" s="45">
        <f>SUMIFS(I6:I28,L6:L28,"&lt;&gt;Available in lab",L6:L28,"&lt;&gt;Not needed")</f>
        <v/>
      </c>
      <c r="K32" s="24" t="inlineStr">
        <is>
          <t>Available in lab</t>
        </is>
      </c>
      <c r="L32" s="89">
        <f>COUNTIF($L$6:$L$28,K32)</f>
        <v/>
      </c>
    </row>
    <row r="33">
      <c r="D33" s="97" t="inlineStr">
        <is>
          <t>Budget available (ask Dr. Gomez — FOP)</t>
        </is>
      </c>
      <c r="E33" s="95" t="n"/>
      <c r="F33" s="95" t="n"/>
      <c r="G33" s="95" t="n"/>
      <c r="H33" s="96" t="n"/>
      <c r="I33" s="46" t="n">
        <v>200</v>
      </c>
      <c r="K33" s="24" t="inlineStr">
        <is>
          <t>To order</t>
        </is>
      </c>
      <c r="L33" s="89">
        <f>COUNTIF($L$6:$L$28,K33)</f>
        <v/>
      </c>
    </row>
    <row r="34">
      <c r="D34" s="97" t="inlineStr">
        <is>
          <t>Remaining after all items</t>
        </is>
      </c>
      <c r="E34" s="95" t="n"/>
      <c r="F34" s="95" t="n"/>
      <c r="G34" s="95" t="n"/>
      <c r="H34" s="96" t="n"/>
      <c r="I34" s="45">
        <f>IF(I33="","",I33-I32)</f>
        <v/>
      </c>
      <c r="K34" s="24" t="inlineStr">
        <is>
          <t>Ordered</t>
        </is>
      </c>
      <c r="L34" s="89">
        <f>COUNTIF($L$6:$L$28,K34)</f>
        <v/>
      </c>
    </row>
    <row r="35">
      <c r="D35" s="97" t="inlineStr">
        <is>
          <t>Sigma-Aldrich items still without a price</t>
        </is>
      </c>
      <c r="E35" s="95" t="n"/>
      <c r="F35" s="95" t="n"/>
      <c r="G35" s="95" t="n"/>
      <c r="H35" s="96" t="n"/>
      <c r="I35" s="89">
        <f>SUMPRODUCT((D6:D28="Sigma-Aldrich")*NOT(ISNUMBER(H6:H28)))</f>
        <v/>
      </c>
      <c r="K35" s="24" t="inlineStr">
        <is>
          <t>Received</t>
        </is>
      </c>
      <c r="L35" s="89">
        <f>COUNTIF($L$6:$L$28,K35)</f>
        <v/>
      </c>
    </row>
    <row r="36">
      <c r="A36" s="17" t="inlineStr">
        <is>
          <t>Prices checked on vendor pages Sep 22, 2026 (hover over a price for its source). Sigma-Aldrich shows TTU prices after login — type them in column H and all totals update.</t>
        </is>
      </c>
      <c r="K36" s="24" t="inlineStr">
        <is>
          <t>Not needed</t>
        </is>
      </c>
      <c r="L36" s="89">
        <f>COUNTIF($L$6:$L$28,K36)</f>
        <v/>
      </c>
    </row>
    <row r="39" ht="22.15" customHeight="1" s="81">
      <c r="A39" s="90" t="inlineStr">
        <is>
          <t>PART B — Sodium dithionite (Na₂S₂O₄) needed to remove dissolved oxygen from 1 L of water, scaled to the class</t>
        </is>
      </c>
    </row>
    <row r="40" ht="42" customHeight="1" s="81">
      <c r="A40" s="106" t="inlineStr">
        <is>
          <t>Na₂S₂O₄ reacts with dissolved oxygen 1:1 (Na₂S₂O₄ + O₂ + H₂O → NaHSO₄ + NaHSO₃). The calculator finds how much O₂ is dissolved in the water at the lab's temperature and elevation, converts it to grams of Na₂S₂O₄, corrects for purity and adds an excess (row V shows how much O₂ that excess will absorb). Change only the blue cells; the green cells are the answer. Pilot-test once before class.</t>
        </is>
      </c>
    </row>
    <row r="41" ht="19.9" customHeight="1" s="81">
      <c r="A41" s="94" t="inlineStr">
        <is>
          <t>Step</t>
        </is>
      </c>
      <c r="B41" s="94" t="inlineStr">
        <is>
          <t>Quantity</t>
        </is>
      </c>
      <c r="C41" s="95" t="n"/>
      <c r="D41" s="95" t="n"/>
      <c r="E41" s="96" t="n"/>
      <c r="F41" s="94" t="inlineStr">
        <is>
          <t>Value</t>
        </is>
      </c>
      <c r="G41" s="94" t="inlineStr">
        <is>
          <t>Unit</t>
        </is>
      </c>
      <c r="H41" s="94" t="inlineStr">
        <is>
          <t>How it's calculated / source</t>
        </is>
      </c>
      <c r="I41" s="95" t="n"/>
      <c r="J41" s="95" t="n"/>
      <c r="K41" s="95" t="n"/>
      <c r="L41" s="95" t="n"/>
      <c r="M41" s="96" t="n"/>
    </row>
    <row r="42">
      <c r="A42" s="104" t="inlineStr">
        <is>
          <t>Inputs — class size &amp; setup (edit the blue cells)</t>
        </is>
      </c>
      <c r="N42" s="47">
        <f>IF(COUNT(F43:F48,F50:F54)&lt;11,"⚠ Fill in every blue input of Part B","✔ all Part B inputs filled")</f>
        <v/>
      </c>
    </row>
    <row r="43" ht="37.9" customHeight="1" s="81">
      <c r="A43" s="48" t="inlineStr">
        <is>
          <t>1</t>
        </is>
      </c>
      <c r="B43" s="86" t="inlineStr">
        <is>
          <t>Students doing the oxygenation project</t>
        </is>
      </c>
      <c r="C43" s="95" t="n"/>
      <c r="D43" s="95" t="n"/>
      <c r="E43" s="96" t="n"/>
      <c r="F43" s="49" t="n">
        <v>25</v>
      </c>
      <c r="G43" s="50" t="inlineStr">
        <is>
          <t>students</t>
        </is>
      </c>
      <c r="H43" s="99" t="inlineStr">
        <is>
          <t>From your request: ~25 students (about half the class). The roster has 52 → 26 per half = 6 groups of 5 — change this if needed.</t>
        </is>
      </c>
      <c r="I43" s="95" t="n"/>
      <c r="J43" s="95" t="n"/>
      <c r="K43" s="95" t="n"/>
      <c r="L43" s="95" t="n"/>
      <c r="M43" s="96" t="n"/>
    </row>
    <row r="44" ht="25.9" customHeight="1" s="81">
      <c r="A44" s="48" t="inlineStr">
        <is>
          <t>2</t>
        </is>
      </c>
      <c r="B44" s="86" t="inlineStr">
        <is>
          <t>Students per group</t>
        </is>
      </c>
      <c r="C44" s="95" t="n"/>
      <c r="D44" s="95" t="n"/>
      <c r="E44" s="96" t="n"/>
      <c r="F44" s="49" t="n">
        <v>5</v>
      </c>
      <c r="G44" s="50" t="inlineStr">
        <is>
          <t>students/group</t>
        </is>
      </c>
      <c r="H44" s="99" t="inlineStr">
        <is>
          <t>Meeting notes: 4 to 5 students per group.</t>
        </is>
      </c>
      <c r="I44" s="95" t="n"/>
      <c r="J44" s="95" t="n"/>
      <c r="K44" s="95" t="n"/>
      <c r="L44" s="95" t="n"/>
      <c r="M44" s="96" t="n"/>
    </row>
    <row r="45" ht="25.9" customHeight="1" s="81">
      <c r="A45" s="48" t="inlineStr">
        <is>
          <t>3</t>
        </is>
      </c>
      <c r="B45" s="86" t="inlineStr">
        <is>
          <t>Containers (runs) per group</t>
        </is>
      </c>
      <c r="C45" s="95" t="n"/>
      <c r="D45" s="95" t="n"/>
      <c r="E45" s="96" t="n"/>
      <c r="F45" s="49" t="n">
        <v>1</v>
      </c>
      <c r="G45" s="50" t="inlineStr">
        <is>
          <t>containers</t>
        </is>
      </c>
      <c r="H45" s="99" t="inlineStr">
        <is>
          <t>1 = each group runs one 1-L container. Increase for replicates/controls.</t>
        </is>
      </c>
      <c r="I45" s="95" t="n"/>
      <c r="J45" s="95" t="n"/>
      <c r="K45" s="95" t="n"/>
      <c r="L45" s="95" t="n"/>
      <c r="M45" s="96" t="n"/>
    </row>
    <row r="46" ht="25.9" customHeight="1" s="81">
      <c r="A46" s="48" t="inlineStr">
        <is>
          <t>4</t>
        </is>
      </c>
      <c r="B46" s="86" t="inlineStr">
        <is>
          <t>Water volume per container</t>
        </is>
      </c>
      <c r="C46" s="95" t="n"/>
      <c r="D46" s="95" t="n"/>
      <c r="E46" s="96" t="n"/>
      <c r="F46" s="51" t="n">
        <v>1</v>
      </c>
      <c r="G46" s="50" t="inlineStr">
        <is>
          <t>L</t>
        </is>
      </c>
      <c r="H46" s="99" t="inlineStr">
        <is>
          <t>Target solution volume = 1 L per container.</t>
        </is>
      </c>
      <c r="I46" s="95" t="n"/>
      <c r="J46" s="95" t="n"/>
      <c r="K46" s="95" t="n"/>
      <c r="L46" s="95" t="n"/>
      <c r="M46" s="96" t="n"/>
    </row>
    <row r="47" ht="25.9" customHeight="1" s="81">
      <c r="A47" s="48" t="inlineStr">
        <is>
          <t>5</t>
        </is>
      </c>
      <c r="B47" s="86" t="inlineStr">
        <is>
          <t>Extra liters for TA pilot tests</t>
        </is>
      </c>
      <c r="C47" s="95" t="n"/>
      <c r="D47" s="95" t="n"/>
      <c r="E47" s="96" t="n"/>
      <c r="F47" s="52" t="n">
        <v>2</v>
      </c>
      <c r="G47" s="50" t="inlineStr">
        <is>
          <t>L</t>
        </is>
      </c>
      <c r="H47" s="99" t="inlineStr">
        <is>
          <t>Trial runs before class (recommended).</t>
        </is>
      </c>
      <c r="I47" s="95" t="n"/>
      <c r="J47" s="95" t="n"/>
      <c r="K47" s="95" t="n"/>
      <c r="L47" s="95" t="n"/>
      <c r="M47" s="96" t="n"/>
    </row>
    <row r="48" ht="25.9" customHeight="1" s="81">
      <c r="A48" s="48" t="inlineStr">
        <is>
          <t>6</t>
        </is>
      </c>
      <c r="B48" s="86" t="inlineStr">
        <is>
          <t>Safety margin on total volume</t>
        </is>
      </c>
      <c r="C48" s="95" t="n"/>
      <c r="D48" s="95" t="n"/>
      <c r="E48" s="96" t="n"/>
      <c r="F48" s="53" t="n">
        <v>0.2</v>
      </c>
      <c r="G48" s="50" t="inlineStr">
        <is>
          <t>%</t>
        </is>
      </c>
      <c r="H48" s="99" t="inlineStr">
        <is>
          <t>Covers spills / repeats.</t>
        </is>
      </c>
      <c r="I48" s="95" t="n"/>
      <c r="J48" s="95" t="n"/>
      <c r="K48" s="95" t="n"/>
      <c r="L48" s="95" t="n"/>
      <c r="M48" s="96" t="n"/>
    </row>
    <row r="49">
      <c r="A49" s="104" t="inlineStr">
        <is>
          <t>Inputs — water &amp; chemical conditions</t>
        </is>
      </c>
    </row>
    <row r="50" ht="25.9" customHeight="1" s="81">
      <c r="A50" s="48" t="inlineStr">
        <is>
          <t>7</t>
        </is>
      </c>
      <c r="B50" s="86" t="inlineStr">
        <is>
          <t>Water temperature</t>
        </is>
      </c>
      <c r="C50" s="95" t="n"/>
      <c r="D50" s="95" t="n"/>
      <c r="E50" s="96" t="n"/>
      <c r="F50" s="52" t="n">
        <v>22</v>
      </c>
      <c r="G50" s="50" t="inlineStr">
        <is>
          <t>°C</t>
        </is>
      </c>
      <c r="H50" s="99" t="inlineStr">
        <is>
          <t>Room-temperature tap/DI water. DO saturation depends on temperature.</t>
        </is>
      </c>
      <c r="I50" s="95" t="n"/>
      <c r="J50" s="95" t="n"/>
      <c r="K50" s="95" t="n"/>
      <c r="L50" s="95" t="n"/>
      <c r="M50" s="96" t="n"/>
    </row>
    <row r="51" ht="37.9" customHeight="1" s="81">
      <c r="A51" s="48" t="inlineStr">
        <is>
          <t>8</t>
        </is>
      </c>
      <c r="B51" s="86" t="inlineStr">
        <is>
          <t>Elevation of the lab</t>
        </is>
      </c>
      <c r="C51" s="95" t="n"/>
      <c r="D51" s="95" t="n"/>
      <c r="E51" s="96" t="n"/>
      <c r="F51" s="54" t="n">
        <v>976</v>
      </c>
      <c r="G51" s="50" t="inlineStr">
        <is>
          <t>m</t>
        </is>
      </c>
      <c r="H51" s="99" t="inlineStr">
        <is>
          <t>Lubbock / Texas Tech ≈ 976 m (3,202 ft), from TTU's Lubbock geography page. Higher elevation → less O₂ in the water.</t>
        </is>
      </c>
      <c r="I51" s="95" t="n"/>
      <c r="J51" s="95" t="n"/>
      <c r="K51" s="95" t="n"/>
      <c r="L51" s="95" t="n"/>
      <c r="M51" s="96" t="n"/>
    </row>
    <row r="52" ht="37.9" customHeight="1" s="81">
      <c r="A52" s="48" t="inlineStr">
        <is>
          <t>9</t>
        </is>
      </c>
      <c r="B52" s="86" t="inlineStr">
        <is>
          <t>Purity (assay) of the Na₂S₂O₄ you buy</t>
        </is>
      </c>
      <c r="C52" s="95" t="n"/>
      <c r="D52" s="95" t="n"/>
      <c r="E52" s="96" t="n"/>
      <c r="F52" s="55" t="n">
        <v>0.825</v>
      </c>
      <c r="G52" s="50" t="inlineStr">
        <is>
          <t>fraction</t>
        </is>
      </c>
      <c r="H52" s="99" t="inlineStr">
        <is>
          <t>Currently the Sigma 157953 value (≥82.5%). The Cole-Parmer 'Purified' product does not state a percentage — enter the assay from its Certificate of Analysis.</t>
        </is>
      </c>
      <c r="I52" s="95" t="n"/>
      <c r="J52" s="95" t="n"/>
      <c r="K52" s="95" t="n"/>
      <c r="L52" s="95" t="n"/>
      <c r="M52" s="96" t="n"/>
    </row>
    <row r="53" ht="37.9" customHeight="1" s="81">
      <c r="A53" s="48" t="inlineStr">
        <is>
          <t>10</t>
        </is>
      </c>
      <c r="B53" s="86" t="inlineStr">
        <is>
          <t>Excess factor over stoichiometric dose</t>
        </is>
      </c>
      <c r="C53" s="95" t="n"/>
      <c r="D53" s="95" t="n"/>
      <c r="E53" s="96" t="n"/>
      <c r="F53" s="51" t="n">
        <v>1.5</v>
      </c>
      <c r="G53" s="50" t="inlineStr">
        <is>
          <t>×</t>
        </is>
      </c>
      <c r="H53" s="99" t="inlineStr">
        <is>
          <t>1.5× covers the measured ratio (1.2 ± 0.2 mol/mol at 25 °C) and losses while weighing. Keep it 1.25–1.5×: leftover dithionite keeps eating the O₂ that diffuses back in and delays the re-oxygenation you want to measure.</t>
        </is>
      </c>
      <c r="I53" s="95" t="n"/>
      <c r="J53" s="95" t="n"/>
      <c r="K53" s="95" t="n"/>
      <c r="L53" s="95" t="n"/>
      <c r="M53" s="96" t="n"/>
    </row>
    <row r="54" ht="37.9" customHeight="1" s="81">
      <c r="A54" s="48" t="inlineStr">
        <is>
          <t>11</t>
        </is>
      </c>
      <c r="B54" s="86" t="inlineStr">
        <is>
          <t>Methylene blue added as O₂ color indicator (0 if none)</t>
        </is>
      </c>
      <c r="C54" s="95" t="n"/>
      <c r="D54" s="95" t="n"/>
      <c r="E54" s="96" t="n"/>
      <c r="F54" s="52" t="n">
        <v>0</v>
      </c>
      <c r="G54" s="50" t="inlineStr">
        <is>
          <t>mg/L</t>
        </is>
      </c>
      <c r="H54" s="99" t="inlineStr">
        <is>
          <t>Enter 2–5 mg/L if methylene blue is also used as the O₂ color indicator (it turns colorless when reduced, blue again with O₂). Adds ~0.54 mg Na₂S₂O₄ per mg MB.</t>
        </is>
      </c>
      <c r="I54" s="95" t="n"/>
      <c r="J54" s="95" t="n"/>
      <c r="K54" s="95" t="n"/>
      <c r="L54" s="95" t="n"/>
      <c r="M54" s="96" t="n"/>
    </row>
    <row r="55">
      <c r="A55" s="104" t="inlineStr">
        <is>
          <t>Constants (from the literature — do not change)</t>
        </is>
      </c>
    </row>
    <row r="56" ht="25.9" customHeight="1" s="81">
      <c r="A56" s="48" t="n"/>
      <c r="B56" s="86" t="inlineStr">
        <is>
          <t>Molar mass Na₂S₂O₄</t>
        </is>
      </c>
      <c r="C56" s="95" t="n"/>
      <c r="D56" s="95" t="n"/>
      <c r="E56" s="96" t="n"/>
      <c r="F56" s="56" t="n">
        <v>174.11</v>
      </c>
      <c r="G56" s="50" t="inlineStr">
        <is>
          <t>g/mol</t>
        </is>
      </c>
      <c r="H56" s="99" t="inlineStr">
        <is>
          <t>Anhydrous sodium dithionite.</t>
        </is>
      </c>
      <c r="I56" s="95" t="n"/>
      <c r="J56" s="95" t="n"/>
      <c r="K56" s="95" t="n"/>
      <c r="L56" s="95" t="n"/>
      <c r="M56" s="96" t="n"/>
    </row>
    <row r="57" ht="25.9" customHeight="1" s="81">
      <c r="A57" s="48" t="n"/>
      <c r="B57" s="86" t="inlineStr">
        <is>
          <t>Molar mass O₂</t>
        </is>
      </c>
      <c r="C57" s="95" t="n"/>
      <c r="D57" s="95" t="n"/>
      <c r="E57" s="96" t="n"/>
      <c r="F57" s="57" t="n">
        <v>31.998</v>
      </c>
      <c r="G57" s="50" t="inlineStr">
        <is>
          <t>g/mol</t>
        </is>
      </c>
      <c r="H57" s="99" t="n"/>
      <c r="I57" s="95" t="n"/>
      <c r="J57" s="95" t="n"/>
      <c r="K57" s="95" t="n"/>
      <c r="L57" s="95" t="n"/>
      <c r="M57" s="96" t="n"/>
    </row>
    <row r="58" ht="25.9" customHeight="1" s="81">
      <c r="A58" s="48" t="n"/>
      <c r="B58" s="86" t="inlineStr">
        <is>
          <t>Molar mass methylene blue (chloride, anhydrous)</t>
        </is>
      </c>
      <c r="C58" s="95" t="n"/>
      <c r="D58" s="95" t="n"/>
      <c r="E58" s="96" t="n"/>
      <c r="F58" s="56" t="n">
        <v>319.85</v>
      </c>
      <c r="G58" s="50" t="inlineStr">
        <is>
          <t>g/mol</t>
        </is>
      </c>
      <c r="H58" s="99" t="inlineStr">
        <is>
          <t>C₁₆H₁₈ClN₃S.</t>
        </is>
      </c>
      <c r="I58" s="95" t="n"/>
      <c r="J58" s="95" t="n"/>
      <c r="K58" s="95" t="n"/>
      <c r="L58" s="95" t="n"/>
      <c r="M58" s="96" t="n"/>
    </row>
    <row r="59" ht="37.9" customHeight="1" s="81">
      <c r="A59" s="48" t="n"/>
      <c r="B59" s="86" t="inlineStr">
        <is>
          <t>mol Na₂S₂O₄ per mol O₂</t>
        </is>
      </c>
      <c r="C59" s="95" t="n"/>
      <c r="D59" s="95" t="n"/>
      <c r="E59" s="96" t="n"/>
      <c r="F59" s="58" t="n">
        <v>1</v>
      </c>
      <c r="G59" s="50" t="inlineStr">
        <is>
          <t>mol/mol</t>
        </is>
      </c>
      <c r="H59" s="99" t="inlineStr">
        <is>
          <t>Na₂S₂O₄ + O₂ + H₂O → NaHSO₄ + NaHSO₃ (1:1). Measured 1.2 ± 0.2 at 25 °C (Tao et al., J. Phys. Chem. A 2008) — covered by the excess factor. Enter 2 only for a worst-case check (then lower the excess).</t>
        </is>
      </c>
      <c r="I59" s="95" t="n"/>
      <c r="J59" s="95" t="n"/>
      <c r="K59" s="95" t="n"/>
      <c r="L59" s="95" t="n"/>
      <c r="M59" s="96" t="n"/>
    </row>
    <row r="60" ht="25.9" customHeight="1" s="81">
      <c r="A60" s="48" t="n"/>
      <c r="B60" s="86" t="inlineStr">
        <is>
          <t>mol Na₂S₂O₄ per mol methylene blue</t>
        </is>
      </c>
      <c r="C60" s="95" t="n"/>
      <c r="D60" s="95" t="n"/>
      <c r="E60" s="96" t="n"/>
      <c r="F60" s="58" t="n">
        <v>1</v>
      </c>
      <c r="G60" s="50" t="inlineStr">
        <is>
          <t>mol/mol</t>
        </is>
      </c>
      <c r="H60" s="99" t="inlineStr">
        <is>
          <t>MB⁺ + 2e⁻ → leuco-MB (colorless); S₂O₄²⁻ supplies 2 e⁻ → 1:1.</t>
        </is>
      </c>
      <c r="I60" s="95" t="n"/>
      <c r="J60" s="95" t="n"/>
      <c r="K60" s="95" t="n"/>
      <c r="L60" s="95" t="n"/>
      <c r="M60" s="96" t="n"/>
    </row>
    <row r="61">
      <c r="A61" s="104" t="inlineStr">
        <is>
          <t>Step-by-step calculation</t>
        </is>
      </c>
    </row>
    <row r="62" ht="25.9" customHeight="1" s="81">
      <c r="A62" s="48" t="inlineStr">
        <is>
          <t>A</t>
        </is>
      </c>
      <c r="B62" s="86" t="inlineStr">
        <is>
          <t>Number of groups</t>
        </is>
      </c>
      <c r="C62" s="95" t="n"/>
      <c r="D62" s="95" t="n"/>
      <c r="E62" s="96" t="n"/>
      <c r="F62" s="11">
        <f>ROUNDUP(F43/F44,0)</f>
        <v/>
      </c>
      <c r="G62" s="50" t="inlineStr">
        <is>
          <t>groups</t>
        </is>
      </c>
      <c r="H62" s="99" t="inlineStr">
        <is>
          <t>→ ROUNDUP(students ÷ students per group)</t>
        </is>
      </c>
      <c r="I62" s="95" t="n"/>
      <c r="J62" s="95" t="n"/>
      <c r="K62" s="95" t="n"/>
      <c r="L62" s="95" t="n"/>
      <c r="M62" s="96" t="n"/>
    </row>
    <row r="63" ht="25.9" customHeight="1" s="81">
      <c r="A63" s="48" t="inlineStr">
        <is>
          <t>B</t>
        </is>
      </c>
      <c r="B63" s="86" t="inlineStr">
        <is>
          <t>Total volume of deoxygenated water to prepare</t>
        </is>
      </c>
      <c r="C63" s="95" t="n"/>
      <c r="D63" s="95" t="n"/>
      <c r="E63" s="96" t="n"/>
      <c r="F63" s="58">
        <f>(F62*F45*F46+F47)*(1+F48)</f>
        <v/>
      </c>
      <c r="G63" s="50" t="inlineStr">
        <is>
          <t>L</t>
        </is>
      </c>
      <c r="H63" s="99" t="inlineStr">
        <is>
          <t>→ (groups × containers × volume + pilot) × (1 + margin)</t>
        </is>
      </c>
      <c r="I63" s="95" t="n"/>
      <c r="J63" s="95" t="n"/>
      <c r="K63" s="95" t="n"/>
      <c r="L63" s="95" t="n"/>
      <c r="M63" s="96" t="n"/>
    </row>
    <row r="64" ht="25.9" customHeight="1" s="81">
      <c r="A64" s="48" t="inlineStr">
        <is>
          <t>C</t>
        </is>
      </c>
      <c r="B64" s="86" t="inlineStr">
        <is>
          <t>Water temperature in kelvin</t>
        </is>
      </c>
      <c r="C64" s="95" t="n"/>
      <c r="D64" s="95" t="n"/>
      <c r="E64" s="96" t="n"/>
      <c r="F64" s="56">
        <f>F50+273.15</f>
        <v/>
      </c>
      <c r="G64" s="50" t="inlineStr">
        <is>
          <t>K</t>
        </is>
      </c>
      <c r="H64" s="99" t="inlineStr">
        <is>
          <t>→ °C + 273.15</t>
        </is>
      </c>
      <c r="I64" s="95" t="n"/>
      <c r="J64" s="95" t="n"/>
      <c r="K64" s="95" t="n"/>
      <c r="L64" s="95" t="n"/>
      <c r="M64" s="96" t="n"/>
    </row>
    <row r="65" ht="25.9" customHeight="1" s="81">
      <c r="A65" s="48" t="inlineStr">
        <is>
          <t>D</t>
        </is>
      </c>
      <c r="B65" s="86" t="inlineStr">
        <is>
          <t>O₂ saturation at sea level (fresh water, 1 atm)</t>
        </is>
      </c>
      <c r="C65" s="95" t="n"/>
      <c r="D65" s="95" t="n"/>
      <c r="E65" s="96" t="n"/>
      <c r="F65" s="56">
        <f>EXP(-139.34411+157570.1/F64-66423080/F64^2+12438000000/F64^3-862194900000/F64^4)</f>
        <v/>
      </c>
      <c r="G65" s="50" t="inlineStr">
        <is>
          <t>mg/L</t>
        </is>
      </c>
      <c r="H65" s="99" t="inlineStr">
        <is>
          <t>Benson &amp; Krause (1984) equation, APHA Standard Methods 4500-O.</t>
        </is>
      </c>
      <c r="I65" s="95" t="n"/>
      <c r="J65" s="95" t="n"/>
      <c r="K65" s="95" t="n"/>
      <c r="L65" s="95" t="n"/>
      <c r="M65" s="96" t="n"/>
    </row>
    <row r="66" ht="25.9" customHeight="1" s="81">
      <c r="A66" s="48" t="inlineStr">
        <is>
          <t>E</t>
        </is>
      </c>
      <c r="B66" s="86" t="inlineStr">
        <is>
          <t>Barometric pressure at the lab</t>
        </is>
      </c>
      <c r="C66" s="95" t="n"/>
      <c r="D66" s="95" t="n"/>
      <c r="E66" s="96" t="n"/>
      <c r="F66" s="57">
        <f>(1-0.0000225577*F51)^5.25588</f>
        <v/>
      </c>
      <c r="G66" s="50" t="inlineStr">
        <is>
          <t>atm</t>
        </is>
      </c>
      <c r="H66" s="99" t="inlineStr">
        <is>
          <t>Standard atmosphere: P = (1 − 2.25577×10⁻⁵ × h)^5.25588</t>
        </is>
      </c>
      <c r="I66" s="95" t="n"/>
      <c r="J66" s="95" t="n"/>
      <c r="K66" s="95" t="n"/>
      <c r="L66" s="95" t="n"/>
      <c r="M66" s="96" t="n"/>
    </row>
    <row r="67" ht="25.9" customHeight="1" s="81">
      <c r="A67" s="48" t="inlineStr">
        <is>
          <t>F</t>
        </is>
      </c>
      <c r="B67" s="86" t="inlineStr">
        <is>
          <t>Water-vapor pressure at this temperature</t>
        </is>
      </c>
      <c r="C67" s="95" t="n"/>
      <c r="D67" s="95" t="n"/>
      <c r="E67" s="96" t="n"/>
      <c r="F67" s="59">
        <f>EXP(11.8571-3840.7/F64-216961/F64^2)</f>
        <v/>
      </c>
      <c r="G67" s="50" t="inlineStr">
        <is>
          <t>atm</t>
        </is>
      </c>
      <c r="H67" s="99" t="inlineStr">
        <is>
          <t>Standard Methods 4500-O: ln Pwv = 11.8571 − 3840.70/T − 216961/T²</t>
        </is>
      </c>
      <c r="I67" s="95" t="n"/>
      <c r="J67" s="95" t="n"/>
      <c r="K67" s="95" t="n"/>
      <c r="L67" s="95" t="n"/>
      <c r="M67" s="96" t="n"/>
    </row>
    <row r="68" ht="25.9" customHeight="1" s="81">
      <c r="A68" s="48" t="inlineStr">
        <is>
          <t>G</t>
        </is>
      </c>
      <c r="B68" s="86" t="inlineStr">
        <is>
          <t>θ (Standard Methods pressure-correction term)</t>
        </is>
      </c>
      <c r="C68" s="95" t="n"/>
      <c r="D68" s="95" t="n"/>
      <c r="E68" s="96" t="n"/>
      <c r="F68" s="60">
        <f>0.000975-0.00001426*F50+0.00000006436*F50^2</f>
        <v/>
      </c>
      <c r="G68" s="50" t="n"/>
      <c r="H68" s="99" t="inlineStr">
        <is>
          <t>θ = 0.000975 − 1.426×10⁻⁵ t + 6.436×10⁻⁸ t²</t>
        </is>
      </c>
      <c r="I68" s="95" t="n"/>
      <c r="J68" s="95" t="n"/>
      <c r="K68" s="95" t="n"/>
      <c r="L68" s="95" t="n"/>
      <c r="M68" s="96" t="n"/>
    </row>
    <row r="69" ht="25.9" customHeight="1" s="81">
      <c r="A69" s="61" t="inlineStr">
        <is>
          <t>H</t>
        </is>
      </c>
      <c r="B69" s="101" t="inlineStr">
        <is>
          <t>O₂ dissolved in the water at the lab (saturation)</t>
        </is>
      </c>
      <c r="C69" s="95" t="n"/>
      <c r="D69" s="95" t="n"/>
      <c r="E69" s="96" t="n"/>
      <c r="F69" s="62">
        <f>F65*F66*((1-F67/F66)*(1-F68*F66))/((1-F67)*(1-F68))</f>
        <v/>
      </c>
      <c r="G69" s="63" t="inlineStr">
        <is>
          <t>mg/L</t>
        </is>
      </c>
      <c r="H69" s="99" t="inlineStr">
        <is>
          <t>Pressure-corrected: C = C* · P · [(1 − Pwv/P)(1 − θP)] / [(1 − Pwv)(1 − θ)]</t>
        </is>
      </c>
      <c r="I69" s="95" t="n"/>
      <c r="J69" s="95" t="n"/>
      <c r="K69" s="95" t="n"/>
      <c r="L69" s="95" t="n"/>
      <c r="M69" s="96" t="n"/>
    </row>
    <row r="70" ht="25.9" customHeight="1" s="81">
      <c r="A70" s="48" t="inlineStr">
        <is>
          <t>I</t>
        </is>
      </c>
      <c r="B70" s="86" t="inlineStr">
        <is>
          <t>O₂ to remove per liter</t>
        </is>
      </c>
      <c r="C70" s="95" t="n"/>
      <c r="D70" s="95" t="n"/>
      <c r="E70" s="96" t="n"/>
      <c r="F70" s="57">
        <f>F69/F57</f>
        <v/>
      </c>
      <c r="G70" s="50" t="inlineStr">
        <is>
          <t>mmol/L</t>
        </is>
      </c>
      <c r="H70" s="99" t="inlineStr">
        <is>
          <t>→ mg/L ÷ 32.00 mg/mmol</t>
        </is>
      </c>
      <c r="I70" s="95" t="n"/>
      <c r="J70" s="95" t="n"/>
      <c r="K70" s="95" t="n"/>
      <c r="L70" s="95" t="n"/>
      <c r="M70" s="96" t="n"/>
    </row>
    <row r="71" ht="25.9" customHeight="1" s="81">
      <c r="A71" s="48" t="inlineStr">
        <is>
          <t>J</t>
        </is>
      </c>
      <c r="B71" s="86" t="inlineStr">
        <is>
          <t>Methylene blue to reduce per liter</t>
        </is>
      </c>
      <c r="C71" s="95" t="n"/>
      <c r="D71" s="95" t="n"/>
      <c r="E71" s="96" t="n"/>
      <c r="F71" s="59">
        <f>F54/F58</f>
        <v/>
      </c>
      <c r="G71" s="50" t="inlineStr">
        <is>
          <t>mmol/L</t>
        </is>
      </c>
      <c r="H71" s="99" t="inlineStr">
        <is>
          <t>→ MB mg/L ÷ 319.85 mg/mmol (0 if no indicator)</t>
        </is>
      </c>
      <c r="I71" s="95" t="n"/>
      <c r="J71" s="95" t="n"/>
      <c r="K71" s="95" t="n"/>
      <c r="L71" s="95" t="n"/>
      <c r="M71" s="96" t="n"/>
    </row>
    <row r="72" ht="25.9" customHeight="1" s="81">
      <c r="A72" s="48" t="inlineStr">
        <is>
          <t>K</t>
        </is>
      </c>
      <c r="B72" s="86" t="inlineStr">
        <is>
          <t>Na₂S₂O₄ needed (stoichiometric)</t>
        </is>
      </c>
      <c r="C72" s="95" t="n"/>
      <c r="D72" s="95" t="n"/>
      <c r="E72" s="96" t="n"/>
      <c r="F72" s="57">
        <f>F70*F59+F71*F60</f>
        <v/>
      </c>
      <c r="G72" s="50" t="inlineStr">
        <is>
          <t>mmol/L</t>
        </is>
      </c>
      <c r="H72" s="99" t="inlineStr">
        <is>
          <t>→ O₂ mmol × 1 + MB mmol × 1</t>
        </is>
      </c>
      <c r="I72" s="95" t="n"/>
      <c r="J72" s="95" t="n"/>
      <c r="K72" s="95" t="n"/>
      <c r="L72" s="95" t="n"/>
      <c r="M72" s="96" t="n"/>
    </row>
    <row r="73" ht="25.9" customHeight="1" s="81">
      <c r="A73" s="48" t="inlineStr">
        <is>
          <t>L</t>
        </is>
      </c>
      <c r="B73" s="86" t="inlineStr">
        <is>
          <t>Mass of pure Na₂S₂O₄ (stoichiometric)</t>
        </is>
      </c>
      <c r="C73" s="95" t="n"/>
      <c r="D73" s="95" t="n"/>
      <c r="E73" s="96" t="n"/>
      <c r="F73" s="58">
        <f>F72*F56</f>
        <v/>
      </c>
      <c r="G73" s="50" t="inlineStr">
        <is>
          <t>mg/L</t>
        </is>
      </c>
      <c r="H73" s="99" t="inlineStr">
        <is>
          <t>→ mmol × 174.11 mg/mmol</t>
        </is>
      </c>
      <c r="I73" s="95" t="n"/>
      <c r="J73" s="95" t="n"/>
      <c r="K73" s="95" t="n"/>
      <c r="L73" s="95" t="n"/>
      <c r="M73" s="96" t="n"/>
    </row>
    <row r="74" ht="25.9" customHeight="1" s="81">
      <c r="A74" s="48" t="inlineStr">
        <is>
          <t>M</t>
        </is>
      </c>
      <c r="B74" s="86" t="inlineStr">
        <is>
          <t>Mass of the product you buy (purity-corrected)</t>
        </is>
      </c>
      <c r="C74" s="95" t="n"/>
      <c r="D74" s="95" t="n"/>
      <c r="E74" s="96" t="n"/>
      <c r="F74" s="58">
        <f>F73/F52</f>
        <v/>
      </c>
      <c r="G74" s="50" t="inlineStr">
        <is>
          <t>mg/L</t>
        </is>
      </c>
      <c r="H74" s="99" t="inlineStr">
        <is>
          <t>→ pure mass ÷ purity</t>
        </is>
      </c>
      <c r="I74" s="95" t="n"/>
      <c r="J74" s="95" t="n"/>
      <c r="K74" s="95" t="n"/>
      <c r="L74" s="95" t="n"/>
      <c r="M74" s="96" t="n"/>
    </row>
    <row r="75" ht="25.9" customHeight="1" s="81">
      <c r="A75" s="61" t="inlineStr">
        <is>
          <t>N</t>
        </is>
      </c>
      <c r="B75" s="101" t="inlineStr">
        <is>
          <t>DOSE for 1 L of water (with excess factor)</t>
        </is>
      </c>
      <c r="C75" s="95" t="n"/>
      <c r="D75" s="95" t="n"/>
      <c r="E75" s="96" t="n"/>
      <c r="F75" s="64">
        <f>F74*F53</f>
        <v/>
      </c>
      <c r="G75" s="63" t="inlineStr">
        <is>
          <t>mg per 1 L</t>
        </is>
      </c>
      <c r="H75" s="99" t="inlineStr">
        <is>
          <t>→ purity-corrected mass × excess factor</t>
        </is>
      </c>
      <c r="I75" s="95" t="n"/>
      <c r="J75" s="95" t="n"/>
      <c r="K75" s="95" t="n"/>
      <c r="L75" s="95" t="n"/>
      <c r="M75" s="96" t="n"/>
    </row>
    <row r="76" ht="25.9" customHeight="1" s="81">
      <c r="A76" s="61" t="inlineStr">
        <is>
          <t>O</t>
        </is>
      </c>
      <c r="B76" s="101" t="inlineStr">
        <is>
          <t>DOSE for 1 L of water</t>
        </is>
      </c>
      <c r="C76" s="95" t="n"/>
      <c r="D76" s="95" t="n"/>
      <c r="E76" s="96" t="n"/>
      <c r="F76" s="65">
        <f>F75/1000</f>
        <v/>
      </c>
      <c r="G76" s="63" t="inlineStr">
        <is>
          <t>g per 1 L</t>
        </is>
      </c>
      <c r="H76" s="99" t="inlineStr">
        <is>
          <t>Dose per liter of water. The amount to weigh into each container is row P.</t>
        </is>
      </c>
      <c r="I76" s="95" t="n"/>
      <c r="J76" s="95" t="n"/>
      <c r="K76" s="95" t="n"/>
      <c r="L76" s="95" t="n"/>
      <c r="M76" s="96" t="n"/>
    </row>
    <row r="77" ht="25.9" customHeight="1" s="81">
      <c r="A77" s="61" t="inlineStr">
        <is>
          <t>P</t>
        </is>
      </c>
      <c r="B77" s="101" t="inlineStr">
        <is>
          <t>Per container</t>
        </is>
      </c>
      <c r="C77" s="95" t="n"/>
      <c r="D77" s="95" t="n"/>
      <c r="E77" s="96" t="n"/>
      <c r="F77" s="65">
        <f>F76*F46</f>
        <v/>
      </c>
      <c r="G77" s="63" t="inlineStr">
        <is>
          <t>g/container</t>
        </is>
      </c>
      <c r="H77" s="99" t="inlineStr">
        <is>
          <t>→ g/L × volume per container</t>
        </is>
      </c>
      <c r="I77" s="95" t="n"/>
      <c r="J77" s="95" t="n"/>
      <c r="K77" s="95" t="n"/>
      <c r="L77" s="95" t="n"/>
      <c r="M77" s="96" t="n"/>
    </row>
    <row r="78" ht="25.9" customHeight="1" s="81">
      <c r="A78" s="48" t="inlineStr">
        <is>
          <t>Q</t>
        </is>
      </c>
      <c r="B78" s="86" t="inlineStr">
        <is>
          <t>Per group</t>
        </is>
      </c>
      <c r="C78" s="95" t="n"/>
      <c r="D78" s="95" t="n"/>
      <c r="E78" s="96" t="n"/>
      <c r="F78" s="57">
        <f>F77*F45</f>
        <v/>
      </c>
      <c r="G78" s="50" t="inlineStr">
        <is>
          <t>g/group</t>
        </is>
      </c>
      <c r="H78" s="99" t="inlineStr">
        <is>
          <t>→ g/container × containers per group</t>
        </is>
      </c>
      <c r="I78" s="95" t="n"/>
      <c r="J78" s="95" t="n"/>
      <c r="K78" s="95" t="n"/>
      <c r="L78" s="95" t="n"/>
      <c r="M78" s="96" t="n"/>
    </row>
    <row r="79" ht="25.9" customHeight="1" s="81">
      <c r="A79" s="61" t="inlineStr">
        <is>
          <t>R</t>
        </is>
      </c>
      <c r="B79" s="101" t="inlineStr">
        <is>
          <t>TOTAL Na₂S₂O₄ for the whole class</t>
        </is>
      </c>
      <c r="C79" s="95" t="n"/>
      <c r="D79" s="95" t="n"/>
      <c r="E79" s="96" t="n"/>
      <c r="F79" s="62">
        <f>F76*F63</f>
        <v/>
      </c>
      <c r="G79" s="63" t="inlineStr">
        <is>
          <t>g</t>
        </is>
      </c>
      <c r="H79" s="99" t="inlineStr">
        <is>
          <t>→ g/L × total volume (incl. pilot + margin)</t>
        </is>
      </c>
      <c r="I79" s="95" t="n"/>
      <c r="J79" s="95" t="n"/>
      <c r="K79" s="95" t="n"/>
      <c r="L79" s="95" t="n"/>
      <c r="M79" s="96" t="n"/>
    </row>
    <row r="80" ht="37.9" customHeight="1" s="81">
      <c r="A80" s="48" t="inlineStr">
        <is>
          <t>S</t>
        </is>
      </c>
      <c r="B80" s="86" t="inlineStr">
        <is>
          <t>Bottle size you plan to buy</t>
        </is>
      </c>
      <c r="C80" s="95" t="n"/>
      <c r="D80" s="95" t="n"/>
      <c r="E80" s="96" t="n"/>
      <c r="F80" s="49" t="n">
        <v>500</v>
      </c>
      <c r="G80" s="50" t="inlineStr">
        <is>
          <t>g</t>
        </is>
      </c>
      <c r="H80" s="99" t="inlineStr">
        <is>
          <t>Match to the pack in Part A (Cole-Parmer 500 g). Keep it tightly closed and dry; write the opening date on the bottle.</t>
        </is>
      </c>
      <c r="I80" s="95" t="n"/>
      <c r="J80" s="95" t="n"/>
      <c r="K80" s="95" t="n"/>
      <c r="L80" s="95" t="n"/>
      <c r="M80" s="96" t="n"/>
    </row>
    <row r="81" ht="25.9" customHeight="1" s="81">
      <c r="A81" s="48" t="inlineStr">
        <is>
          <t>T</t>
        </is>
      </c>
      <c r="B81" s="86" t="inlineStr">
        <is>
          <t>Bottles needed</t>
        </is>
      </c>
      <c r="C81" s="95" t="n"/>
      <c r="D81" s="95" t="n"/>
      <c r="E81" s="96" t="n"/>
      <c r="F81" s="11">
        <f>ROUNDUP(F79/F80,0)</f>
        <v/>
      </c>
      <c r="G81" s="50" t="inlineStr">
        <is>
          <t>bottles</t>
        </is>
      </c>
      <c r="H81" s="99" t="inlineStr">
        <is>
          <t>→ ROUNDUP(total g ÷ bottle size)</t>
        </is>
      </c>
      <c r="I81" s="95" t="n"/>
      <c r="J81" s="95" t="n"/>
      <c r="K81" s="95" t="n"/>
      <c r="L81" s="95" t="n"/>
      <c r="M81" s="96" t="n"/>
    </row>
    <row r="82" ht="25.9" customHeight="1" s="81">
      <c r="A82" s="48" t="inlineStr">
        <is>
          <t>U</t>
        </is>
      </c>
      <c r="B82" s="86" t="inlineStr">
        <is>
          <t>Liters one bottle can deoxygenate</t>
        </is>
      </c>
      <c r="C82" s="95" t="n"/>
      <c r="D82" s="95" t="n"/>
      <c r="E82" s="96" t="n"/>
      <c r="F82" s="66">
        <f>F80/F76</f>
        <v/>
      </c>
      <c r="G82" s="50" t="inlineStr">
        <is>
          <t>L</t>
        </is>
      </c>
      <c r="H82" s="99" t="inlineStr">
        <is>
          <t>→ bottle g ÷ dose g/L — shows how much spare you have.</t>
        </is>
      </c>
      <c r="I82" s="95" t="n"/>
      <c r="J82" s="95" t="n"/>
      <c r="K82" s="95" t="n"/>
      <c r="L82" s="95" t="n"/>
      <c r="M82" s="96" t="n"/>
    </row>
    <row r="83" ht="37.9" customHeight="1" s="81">
      <c r="A83" s="48" t="inlineStr">
        <is>
          <t>V</t>
        </is>
      </c>
      <c r="B83" s="86" t="inlineStr">
        <is>
          <t>O₂ the leftover (excess) Na₂S₂O₄ will absorb before DO starts rising</t>
        </is>
      </c>
      <c r="C83" s="95" t="n"/>
      <c r="D83" s="95" t="n"/>
      <c r="E83" s="96" t="n"/>
      <c r="F83" s="56">
        <f>(F75-F74)*F52/F56/F59*F57</f>
        <v/>
      </c>
      <c r="G83" s="50" t="inlineStr">
        <is>
          <t>mg/L</t>
        </is>
      </c>
      <c r="H83" s="99" t="inlineStr">
        <is>
          <t>→ excess product × purity ÷ 174.11 ÷ (mol/mol) × 32.00. Compare with row H: re-oxygenation only shows after this much O₂ has diffused in — measure the lag in the pilot test.</t>
        </is>
      </c>
      <c r="I83" s="95" t="n"/>
      <c r="J83" s="95" t="n"/>
      <c r="K83" s="95" t="n"/>
      <c r="L83" s="95" t="n"/>
      <c r="M83" s="96" t="n"/>
    </row>
    <row r="85">
      <c r="A85" s="104" t="inlineStr">
        <is>
          <t>Safety &amp; handling notes (sodium dithionite)</t>
        </is>
      </c>
    </row>
    <row r="86" ht="25.9" customHeight="1" s="81">
      <c r="A86" s="100" t="inlineStr">
        <is>
          <t>•  Hazards: self-heating solid, may catch fire (H251); harmful if swallowed (H302); listings also show eye irritation (H319) and/or toxic to aquatic life (H411); contact with ACIDS releases toxic SO₂ gas. Download the SDS for 157953 from the Sigma page and keep it in the lab. Store away from acids.</t>
        </is>
      </c>
    </row>
    <row r="87" ht="25.9" customHeight="1" s="81">
      <c r="A87" s="100" t="inlineStr">
        <is>
          <t>•  Store tightly closed, cool and DRY — never let water into the bottle; it slowly degrades once opened, so write the opening date on it. Shipped as hazmat (UN1384, class 4.2): expect extra shipping fees / lead time.</t>
        </is>
      </c>
    </row>
    <row r="88" ht="25.9" customHeight="1" s="81">
      <c r="A88" s="100" t="inlineStr">
        <is>
          <t>•  Weigh it right before use and add it directly to the water (or make a small concentrated solution in a closed vial and use it immediately) — dissolved dithionite decomposes within hours in air.</t>
        </is>
      </c>
    </row>
    <row r="89" ht="25.9" customHeight="1" s="81">
      <c r="A89" s="100" t="inlineStr">
        <is>
          <t>•  Do not overdose: extra dithionite consumes the incoming O₂ and delays re-oxygenation. Give every group the same dose and start the clock only when the DO starts to rise.</t>
        </is>
      </c>
    </row>
    <row r="90" ht="25.9" customHeight="1" s="81">
      <c r="A90" s="100" t="inlineStr">
        <is>
          <t>•  The products (bisulfate/bisulfite) are acidic — in unbuffered DI water the pH can drop to ~3.6 (estimate), which also speeds decomposition. Tap water or a light buffer avoids this.</t>
        </is>
      </c>
    </row>
    <row r="91" ht="25.9" customHeight="1" s="81">
      <c r="A91" s="100" t="inlineStr">
        <is>
          <t>•  Fill containers to the brim or record the headspace: 100 mL of air holds ~24 mg of O₂ — about 3× the O₂ dissolved in 1 L of water — so headspace dominates the result.</t>
        </is>
      </c>
    </row>
    <row r="92" ht="25.9" customHeight="1" s="81">
      <c r="A92" s="100" t="inlineStr">
        <is>
          <t>•  Wear nitrile gloves and safety glasses. Sweep spills up dry (do not wash with water). Collect dithionite and methylene-blue waste — do not pour down the drain (ask the lab / EHS).</t>
        </is>
      </c>
    </row>
    <row r="94">
      <c r="A94" s="104" t="inlineStr">
        <is>
          <t>Check: DO-saturation formula vs. published table (sea level, fresh water)</t>
        </is>
      </c>
    </row>
    <row r="95" ht="28.15" customHeight="1" s="81">
      <c r="A95" s="94" t="n"/>
      <c r="B95" s="94" t="inlineStr">
        <is>
          <t>Temperature</t>
        </is>
      </c>
      <c r="C95" s="95" t="n"/>
      <c r="D95" s="95" t="n"/>
      <c r="E95" s="96" t="n"/>
      <c r="F95" s="94" t="inlineStr">
        <is>
          <t>Formula
(mg/L)</t>
        </is>
      </c>
      <c r="G95" s="94" t="inlineStr">
        <is>
          <t>Table
(mg/L)</t>
        </is>
      </c>
      <c r="H95" s="94" t="inlineStr">
        <is>
          <t>Difference (mg/L)</t>
        </is>
      </c>
      <c r="I95" s="96" t="n"/>
    </row>
    <row r="96">
      <c r="B96" s="103" t="n">
        <v>15</v>
      </c>
      <c r="C96" s="95" t="n"/>
      <c r="D96" s="95" t="n"/>
      <c r="E96" s="96" t="n"/>
      <c r="F96" s="56">
        <f>EXP(-139.34411+157570.1/(B96+273.15)-66423080/(B96+273.15)^2+12438000000/(B96+273.15)^3-862194900000/(B96+273.15)^4)</f>
        <v/>
      </c>
      <c r="G96" s="56" t="n">
        <v>10.08</v>
      </c>
      <c r="H96" s="105">
        <f>F96-G96</f>
        <v/>
      </c>
      <c r="I96" s="96" t="n"/>
    </row>
    <row r="97">
      <c r="B97" s="103" t="n">
        <v>18</v>
      </c>
      <c r="C97" s="95" t="n"/>
      <c r="D97" s="95" t="n"/>
      <c r="E97" s="96" t="n"/>
      <c r="F97" s="56">
        <f>EXP(-139.34411+157570.1/(B97+273.15)-66423080/(B97+273.15)^2+12438000000/(B97+273.15)^3-862194900000/(B97+273.15)^4)</f>
        <v/>
      </c>
      <c r="G97" s="56" t="n">
        <v>9.470000000000001</v>
      </c>
      <c r="H97" s="105">
        <f>F97-G97</f>
        <v/>
      </c>
      <c r="I97" s="96" t="n"/>
    </row>
    <row r="98">
      <c r="B98" s="103" t="n">
        <v>20</v>
      </c>
      <c r="C98" s="95" t="n"/>
      <c r="D98" s="95" t="n"/>
      <c r="E98" s="96" t="n"/>
      <c r="F98" s="56">
        <f>EXP(-139.34411+157570.1/(B98+273.15)-66423080/(B98+273.15)^2+12438000000/(B98+273.15)^3-862194900000/(B98+273.15)^4)</f>
        <v/>
      </c>
      <c r="G98" s="56" t="n">
        <v>9.09</v>
      </c>
      <c r="H98" s="105">
        <f>F98-G98</f>
        <v/>
      </c>
      <c r="I98" s="96" t="n"/>
    </row>
    <row r="99">
      <c r="B99" s="103" t="n">
        <v>22</v>
      </c>
      <c r="C99" s="95" t="n"/>
      <c r="D99" s="95" t="n"/>
      <c r="E99" s="96" t="n"/>
      <c r="F99" s="56">
        <f>EXP(-139.34411+157570.1/(B99+273.15)-66423080/(B99+273.15)^2+12438000000/(B99+273.15)^3-862194900000/(B99+273.15)^4)</f>
        <v/>
      </c>
      <c r="G99" s="56" t="n">
        <v>8.74</v>
      </c>
      <c r="H99" s="105">
        <f>F99-G99</f>
        <v/>
      </c>
      <c r="I99" s="96" t="n"/>
    </row>
    <row r="100">
      <c r="B100" s="103" t="n">
        <v>25</v>
      </c>
      <c r="C100" s="95" t="n"/>
      <c r="D100" s="95" t="n"/>
      <c r="E100" s="96" t="n"/>
      <c r="F100" s="56">
        <f>EXP(-139.34411+157570.1/(B100+273.15)-66423080/(B100+273.15)^2+12438000000/(B100+273.15)^3-862194900000/(B100+273.15)^4)</f>
        <v/>
      </c>
      <c r="G100" s="56" t="n">
        <v>8.26</v>
      </c>
      <c r="H100" s="105">
        <f>F100-G100</f>
        <v/>
      </c>
      <c r="I100" s="96" t="n"/>
    </row>
    <row r="101">
      <c r="B101" s="103" t="n">
        <v>28</v>
      </c>
      <c r="C101" s="95" t="n"/>
      <c r="D101" s="95" t="n"/>
      <c r="E101" s="96" t="n"/>
      <c r="F101" s="56">
        <f>EXP(-139.34411+157570.1/(B101+273.15)-66423080/(B101+273.15)^2+12438000000/(B101+273.15)^3-862194900000/(B101+273.15)^4)</f>
        <v/>
      </c>
      <c r="G101" s="56" t="n">
        <v>7.83</v>
      </c>
      <c r="H101" s="105">
        <f>F101-G101</f>
        <v/>
      </c>
      <c r="I101" s="96" t="n"/>
    </row>
    <row r="102">
      <c r="B102" s="103" t="n">
        <v>30</v>
      </c>
      <c r="C102" s="95" t="n"/>
      <c r="D102" s="95" t="n"/>
      <c r="E102" s="96" t="n"/>
      <c r="F102" s="56">
        <f>EXP(-139.34411+157570.1/(B102+273.15)-66423080/(B102+273.15)^2+12438000000/(B102+273.15)^3-862194900000/(B102+273.15)^4)</f>
        <v/>
      </c>
      <c r="G102" s="56" t="n">
        <v>7.56</v>
      </c>
      <c r="H102" s="105">
        <f>F102-G102</f>
        <v/>
      </c>
      <c r="I102" s="96" t="n"/>
    </row>
    <row r="103">
      <c r="B103" s="17" t="inlineStr">
        <is>
          <t>Table values: USGS (2020) Techniques &amp; Methods 9-A6.2, Table 6.2-2 at 760 mmHg (same values as USGS DOTABLES). Equation: USGS Tech. Memo 2011.03 (Benson &amp; Krause).</t>
        </is>
      </c>
    </row>
    <row r="105" ht="22.15" customHeight="1" s="81">
      <c r="A105" s="90" t="inlineStr">
        <is>
          <t>PART C — Methylene blue solution for the dye-removal half of the class</t>
        </is>
      </c>
    </row>
    <row r="106" ht="19.9" customHeight="1" s="81">
      <c r="A106" s="94" t="inlineStr">
        <is>
          <t>Step</t>
        </is>
      </c>
      <c r="B106" s="94" t="inlineStr">
        <is>
          <t>Quantity</t>
        </is>
      </c>
      <c r="C106" s="95" t="n"/>
      <c r="D106" s="95" t="n"/>
      <c r="E106" s="96" t="n"/>
      <c r="F106" s="94" t="inlineStr">
        <is>
          <t>Value</t>
        </is>
      </c>
      <c r="G106" s="94" t="inlineStr">
        <is>
          <t>Unit</t>
        </is>
      </c>
      <c r="H106" s="94" t="inlineStr">
        <is>
          <t>How it's calculated / source</t>
        </is>
      </c>
      <c r="I106" s="95" t="n"/>
      <c r="J106" s="95" t="n"/>
      <c r="K106" s="95" t="n"/>
      <c r="L106" s="95" t="n"/>
      <c r="M106" s="96" t="n"/>
    </row>
    <row r="107">
      <c r="A107" s="104" t="inlineStr">
        <is>
          <t>Inputs (edit the blue cells)</t>
        </is>
      </c>
    </row>
    <row r="108" ht="25.9" customHeight="1" s="81">
      <c r="A108" s="48" t="inlineStr">
        <is>
          <t>1</t>
        </is>
      </c>
      <c r="B108" s="86" t="inlineStr">
        <is>
          <t>Students doing methylene-blue removal</t>
        </is>
      </c>
      <c r="C108" s="95" t="n"/>
      <c r="D108" s="95" t="n"/>
      <c r="E108" s="96" t="n"/>
      <c r="F108" s="49" t="n">
        <v>25</v>
      </c>
      <c r="G108" s="50" t="inlineStr">
        <is>
          <t>students</t>
        </is>
      </c>
      <c r="H108" s="99" t="inlineStr">
        <is>
          <t>The other half of the class.</t>
        </is>
      </c>
      <c r="I108" s="95" t="n"/>
      <c r="J108" s="95" t="n"/>
      <c r="K108" s="95" t="n"/>
      <c r="L108" s="95" t="n"/>
      <c r="M108" s="96" t="n"/>
    </row>
    <row r="109" ht="25.9" customHeight="1" s="81">
      <c r="A109" s="48" t="inlineStr">
        <is>
          <t>2</t>
        </is>
      </c>
      <c r="B109" s="86" t="inlineStr">
        <is>
          <t>Students per group</t>
        </is>
      </c>
      <c r="C109" s="95" t="n"/>
      <c r="D109" s="95" t="n"/>
      <c r="E109" s="96" t="n"/>
      <c r="F109" s="11">
        <f>F44</f>
        <v/>
      </c>
      <c r="G109" s="50" t="inlineStr">
        <is>
          <t>students/group</t>
        </is>
      </c>
      <c r="H109" s="99" t="inlineStr">
        <is>
          <t>Linked to Part B (same group size).</t>
        </is>
      </c>
      <c r="I109" s="95" t="n"/>
      <c r="J109" s="95" t="n"/>
      <c r="K109" s="95" t="n"/>
      <c r="L109" s="95" t="n"/>
      <c r="M109" s="96" t="n"/>
    </row>
    <row r="110" ht="37.9" customHeight="1" s="81">
      <c r="A110" s="48" t="inlineStr">
        <is>
          <t>3</t>
        </is>
      </c>
      <c r="B110" s="86" t="inlineStr">
        <is>
          <t>Dye solution per group</t>
        </is>
      </c>
      <c r="C110" s="95" t="n"/>
      <c r="D110" s="95" t="n"/>
      <c r="E110" s="96" t="n"/>
      <c r="F110" s="52" t="n">
        <v>2</v>
      </c>
      <c r="G110" s="50" t="inlineStr">
        <is>
          <t>L</t>
        </is>
      </c>
      <c r="H110" s="99" t="inlineStr">
        <is>
          <t>Dye water each group needs to test its treatment design (e.g., 2 runs × 1 L). Adjust once the procedure is set.</t>
        </is>
      </c>
      <c r="I110" s="95" t="n"/>
      <c r="J110" s="95" t="n"/>
      <c r="K110" s="95" t="n"/>
      <c r="L110" s="95" t="n"/>
      <c r="M110" s="96" t="n"/>
    </row>
    <row r="111" ht="37.9" customHeight="1" s="81">
      <c r="A111" s="48" t="inlineStr">
        <is>
          <t>4</t>
        </is>
      </c>
      <c r="B111" s="86" t="inlineStr">
        <is>
          <t>Target methylene blue concentration</t>
        </is>
      </c>
      <c r="C111" s="95" t="n"/>
      <c r="D111" s="95" t="n"/>
      <c r="E111" s="96" t="n"/>
      <c r="F111" s="52" t="n">
        <v>10</v>
      </c>
      <c r="G111" s="50" t="inlineStr">
        <is>
          <t>mg/L</t>
        </is>
      </c>
      <c r="H111" s="99" t="inlineStr">
        <is>
          <t>Typical student adsorption labs use 10–50 mg/L. For absorbance at 664 nm, dilute samples below ~4–5 mg/L and build a calibration curve (0.5–5 mg/L).</t>
        </is>
      </c>
      <c r="I111" s="95" t="n"/>
      <c r="J111" s="95" t="n"/>
      <c r="K111" s="95" t="n"/>
      <c r="L111" s="95" t="n"/>
      <c r="M111" s="96" t="n"/>
    </row>
    <row r="112" ht="25.9" customHeight="1" s="81">
      <c r="A112" s="48" t="inlineStr">
        <is>
          <t>5</t>
        </is>
      </c>
      <c r="B112" s="86" t="inlineStr">
        <is>
          <t>Stock solution concentration</t>
        </is>
      </c>
      <c r="C112" s="95" t="n"/>
      <c r="D112" s="95" t="n"/>
      <c r="E112" s="96" t="n"/>
      <c r="F112" s="54" t="n">
        <v>1000</v>
      </c>
      <c r="G112" s="50" t="inlineStr">
        <is>
          <t>mg/L</t>
        </is>
      </c>
      <c r="H112" s="99" t="inlineStr">
        <is>
          <t>1 g/L stock is easy to weigh and dilute.</t>
        </is>
      </c>
      <c r="I112" s="95" t="n"/>
      <c r="J112" s="95" t="n"/>
      <c r="K112" s="95" t="n"/>
      <c r="L112" s="95" t="n"/>
      <c r="M112" s="96" t="n"/>
    </row>
    <row r="113" ht="25.9" customHeight="1" s="81">
      <c r="A113" s="48" t="inlineStr">
        <is>
          <t>6</t>
        </is>
      </c>
      <c r="B113" s="86" t="inlineStr">
        <is>
          <t>Stock volume to prepare (volumetric flask)</t>
        </is>
      </c>
      <c r="C113" s="95" t="n"/>
      <c r="D113" s="95" t="n"/>
      <c r="E113" s="96" t="n"/>
      <c r="F113" s="49" t="n">
        <v>250</v>
      </c>
      <c r="G113" s="50" t="inlineStr">
        <is>
          <t>mL</t>
        </is>
      </c>
      <c r="H113" s="99" t="inlineStr">
        <is>
          <t>Use a volumetric flask of this size.</t>
        </is>
      </c>
      <c r="I113" s="95" t="n"/>
      <c r="J113" s="95" t="n"/>
      <c r="K113" s="95" t="n"/>
      <c r="L113" s="95" t="n"/>
      <c r="M113" s="96" t="n"/>
    </row>
    <row r="114" ht="37.9" customHeight="1" s="81">
      <c r="A114" s="48" t="inlineStr">
        <is>
          <t>7</t>
        </is>
      </c>
      <c r="B114" s="86" t="inlineStr">
        <is>
          <t>Dye content of the methylene blue you buy</t>
        </is>
      </c>
      <c r="C114" s="95" t="n"/>
      <c r="D114" s="95" t="n"/>
      <c r="E114" s="96" t="n"/>
      <c r="F114" s="55" t="n">
        <v>0.97</v>
      </c>
      <c r="G114" s="50" t="inlineStr">
        <is>
          <t>fraction</t>
        </is>
      </c>
      <c r="H114" s="99" t="inlineStr">
        <is>
          <t>Currently the value for Sigma 66720 (≥97.0%). You are buying M4159 — enter the dye content from its lot Certificate of Analysis and confirm with a calibration curve at 664 nm.</t>
        </is>
      </c>
      <c r="I114" s="95" t="n"/>
      <c r="J114" s="95" t="n"/>
      <c r="K114" s="95" t="n"/>
      <c r="L114" s="95" t="n"/>
      <c r="M114" s="96" t="n"/>
    </row>
    <row r="115" ht="25.9" customHeight="1" s="81">
      <c r="A115" s="48" t="inlineStr">
        <is>
          <t>8</t>
        </is>
      </c>
      <c r="B115" s="86" t="inlineStr">
        <is>
          <t>Safety margin</t>
        </is>
      </c>
      <c r="C115" s="95" t="n"/>
      <c r="D115" s="95" t="n"/>
      <c r="E115" s="96" t="n"/>
      <c r="F115" s="12">
        <f>F48</f>
        <v/>
      </c>
      <c r="G115" s="50" t="inlineStr">
        <is>
          <t>%</t>
        </is>
      </c>
      <c r="H115" s="99" t="inlineStr">
        <is>
          <t>Linked to Part B.</t>
        </is>
      </c>
      <c r="I115" s="95" t="n"/>
      <c r="J115" s="95" t="n"/>
      <c r="K115" s="95" t="n"/>
      <c r="L115" s="95" t="n"/>
      <c r="M115" s="96" t="n"/>
    </row>
    <row r="116">
      <c r="A116" s="104" t="inlineStr">
        <is>
          <t>Calculation</t>
        </is>
      </c>
    </row>
    <row r="117" ht="25.9" customHeight="1" s="81">
      <c r="A117" s="48" t="inlineStr">
        <is>
          <t>A</t>
        </is>
      </c>
      <c r="B117" s="86" t="inlineStr">
        <is>
          <t>Number of groups</t>
        </is>
      </c>
      <c r="C117" s="95" t="n"/>
      <c r="D117" s="95" t="n"/>
      <c r="E117" s="96" t="n"/>
      <c r="F117" s="11">
        <f>ROUNDUP(F108/F109,0)</f>
        <v/>
      </c>
      <c r="G117" s="50" t="inlineStr">
        <is>
          <t>groups</t>
        </is>
      </c>
      <c r="H117" s="99" t="inlineStr">
        <is>
          <t>→ ROUNDUP(students ÷ students per group)</t>
        </is>
      </c>
      <c r="I117" s="95" t="n"/>
      <c r="J117" s="95" t="n"/>
      <c r="K117" s="95" t="n"/>
      <c r="L117" s="95" t="n"/>
      <c r="M117" s="96" t="n"/>
    </row>
    <row r="118" ht="25.9" customHeight="1" s="81">
      <c r="A118" s="48" t="inlineStr">
        <is>
          <t>B</t>
        </is>
      </c>
      <c r="B118" s="86" t="inlineStr">
        <is>
          <t>Total dye solution to prepare</t>
        </is>
      </c>
      <c r="C118" s="95" t="n"/>
      <c r="D118" s="95" t="n"/>
      <c r="E118" s="96" t="n"/>
      <c r="F118" s="58">
        <f>F117*F110*(1+F115)</f>
        <v/>
      </c>
      <c r="G118" s="50" t="inlineStr">
        <is>
          <t>L</t>
        </is>
      </c>
      <c r="H118" s="99" t="inlineStr">
        <is>
          <t>→ groups × L per group × (1 + margin)</t>
        </is>
      </c>
      <c r="I118" s="95" t="n"/>
      <c r="J118" s="95" t="n"/>
      <c r="K118" s="95" t="n"/>
      <c r="L118" s="95" t="n"/>
      <c r="M118" s="96" t="n"/>
    </row>
    <row r="119" ht="25.9" customHeight="1" s="81">
      <c r="A119" s="61" t="inlineStr">
        <is>
          <t>C</t>
        </is>
      </c>
      <c r="B119" s="101" t="inlineStr">
        <is>
          <t>Methylene blue powder to weigh for the stock</t>
        </is>
      </c>
      <c r="C119" s="95" t="n"/>
      <c r="D119" s="95" t="n"/>
      <c r="E119" s="96" t="n"/>
      <c r="F119" s="67">
        <f>F112*F113/1000/F114</f>
        <v/>
      </c>
      <c r="G119" s="63" t="inlineStr">
        <is>
          <t>mg</t>
        </is>
      </c>
      <c r="H119" s="99" t="inlineStr">
        <is>
          <t>→ stock mg/L × flask mL ÷ 1000 ÷ dye content</t>
        </is>
      </c>
      <c r="I119" s="95" t="n"/>
      <c r="J119" s="95" t="n"/>
      <c r="K119" s="95" t="n"/>
      <c r="L119" s="95" t="n"/>
      <c r="M119" s="96" t="n"/>
    </row>
    <row r="120" ht="25.9" customHeight="1" s="81">
      <c r="A120" s="61" t="inlineStr">
        <is>
          <t>D</t>
        </is>
      </c>
      <c r="B120" s="101" t="inlineStr">
        <is>
          <t>Stock to add per 1 L of working solution</t>
        </is>
      </c>
      <c r="C120" s="95" t="n"/>
      <c r="D120" s="95" t="n"/>
      <c r="E120" s="96" t="n"/>
      <c r="F120" s="67">
        <f>F111/F112*1000</f>
        <v/>
      </c>
      <c r="G120" s="63" t="inlineStr">
        <is>
          <t>mL per 1 L</t>
        </is>
      </c>
      <c r="H120" s="99" t="inlineStr">
        <is>
          <t>→ target ÷ stock × 1000 mL (then fill to 1 L with water)</t>
        </is>
      </c>
      <c r="I120" s="95" t="n"/>
      <c r="J120" s="95" t="n"/>
      <c r="K120" s="95" t="n"/>
      <c r="L120" s="95" t="n"/>
      <c r="M120" s="96" t="n"/>
    </row>
    <row r="121" ht="25.9" customHeight="1" s="81">
      <c r="A121" s="48" t="inlineStr">
        <is>
          <t>E</t>
        </is>
      </c>
      <c r="B121" s="86" t="inlineStr">
        <is>
          <t>Stock needed for the whole class</t>
        </is>
      </c>
      <c r="C121" s="95" t="n"/>
      <c r="D121" s="95" t="n"/>
      <c r="E121" s="96" t="n"/>
      <c r="F121" s="11">
        <f>F120*F118</f>
        <v/>
      </c>
      <c r="G121" s="50" t="inlineStr">
        <is>
          <t>mL</t>
        </is>
      </c>
      <c r="H121" s="99" t="inlineStr">
        <is>
          <t>→ mL per L × total liters</t>
        </is>
      </c>
      <c r="I121" s="95" t="n"/>
      <c r="J121" s="95" t="n"/>
      <c r="K121" s="95" t="n"/>
      <c r="L121" s="95" t="n"/>
      <c r="M121" s="96" t="n"/>
    </row>
    <row r="122" ht="25.9" customHeight="1" s="81">
      <c r="A122" s="61" t="inlineStr">
        <is>
          <t>F</t>
        </is>
      </c>
      <c r="B122" s="101" t="inlineStr">
        <is>
          <t>Stock batches (flasks) needed</t>
        </is>
      </c>
      <c r="C122" s="95" t="n"/>
      <c r="D122" s="95" t="n"/>
      <c r="E122" s="96" t="n"/>
      <c r="F122" s="64">
        <f>ROUNDUP(F121/F113,0)</f>
        <v/>
      </c>
      <c r="G122" s="63" t="inlineStr">
        <is>
          <t>batches</t>
        </is>
      </c>
      <c r="H122" s="99" t="inlineStr">
        <is>
          <t>→ ROUNDUP(stock needed ÷ flask volume)</t>
        </is>
      </c>
      <c r="I122" s="95" t="n"/>
      <c r="J122" s="95" t="n"/>
      <c r="K122" s="95" t="n"/>
      <c r="L122" s="95" t="n"/>
      <c r="M122" s="96" t="n"/>
    </row>
    <row r="123" ht="25.9" customHeight="1" s="81">
      <c r="A123" s="48" t="inlineStr">
        <is>
          <t>G</t>
        </is>
      </c>
      <c r="B123" s="86" t="inlineStr">
        <is>
          <t>Total powder to weigh (all stock batches)</t>
        </is>
      </c>
      <c r="C123" s="95" t="n"/>
      <c r="D123" s="95" t="n"/>
      <c r="E123" s="96" t="n"/>
      <c r="F123" s="11">
        <f>F119*F122</f>
        <v/>
      </c>
      <c r="G123" s="50" t="inlineStr">
        <is>
          <t>mg</t>
        </is>
      </c>
      <c r="H123" s="99" t="inlineStr">
        <is>
          <t>→ powder per flask × number of batches</t>
        </is>
      </c>
      <c r="I123" s="95" t="n"/>
      <c r="J123" s="95" t="n"/>
      <c r="K123" s="95" t="n"/>
      <c r="L123" s="95" t="n"/>
      <c r="M123" s="96" t="n"/>
    </row>
    <row r="124" ht="25.9" customHeight="1" s="81">
      <c r="A124" s="48" t="inlineStr">
        <is>
          <t>H</t>
        </is>
      </c>
      <c r="B124" s="86" t="inlineStr">
        <is>
          <t>Dye that ends up in the working solutions (info only)</t>
        </is>
      </c>
      <c r="C124" s="95" t="n"/>
      <c r="D124" s="95" t="n"/>
      <c r="E124" s="96" t="n"/>
      <c r="F124" s="11">
        <f>F111*F118/F114</f>
        <v/>
      </c>
      <c r="G124" s="50" t="inlineStr">
        <is>
          <t>mg</t>
        </is>
      </c>
      <c r="H124" s="99" t="inlineStr">
        <is>
          <t>→ target mg/L × total L ÷ dye content</t>
        </is>
      </c>
      <c r="I124" s="95" t="n"/>
      <c r="J124" s="95" t="n"/>
      <c r="K124" s="95" t="n"/>
      <c r="L124" s="95" t="n"/>
      <c r="M124" s="96" t="n"/>
    </row>
  </sheetData>
  <mergeCells count="155">
    <mergeCell ref="H64:M64"/>
    <mergeCell ref="D35:H35"/>
    <mergeCell ref="H73:M73"/>
    <mergeCell ref="H51:M51"/>
    <mergeCell ref="B65:E65"/>
    <mergeCell ref="H60:M60"/>
    <mergeCell ref="B74:E74"/>
    <mergeCell ref="B68:E68"/>
    <mergeCell ref="H70:M70"/>
    <mergeCell ref="H115:M115"/>
    <mergeCell ref="B123:E123"/>
    <mergeCell ref="B76:E76"/>
    <mergeCell ref="B45:E45"/>
    <mergeCell ref="B110:E110"/>
    <mergeCell ref="B113:E113"/>
    <mergeCell ref="A40:M40"/>
    <mergeCell ref="B100:E100"/>
    <mergeCell ref="B109:E109"/>
    <mergeCell ref="B47:E47"/>
    <mergeCell ref="A107:M107"/>
    <mergeCell ref="B115:E115"/>
    <mergeCell ref="H124:M124"/>
    <mergeCell ref="H77:M77"/>
    <mergeCell ref="B102:E102"/>
    <mergeCell ref="H53:M53"/>
    <mergeCell ref="H96:I96"/>
    <mergeCell ref="B101:E101"/>
    <mergeCell ref="H67:M67"/>
    <mergeCell ref="D30:H30"/>
    <mergeCell ref="B69:E69"/>
    <mergeCell ref="H113:M113"/>
    <mergeCell ref="B78:E78"/>
    <mergeCell ref="B112:E112"/>
    <mergeCell ref="H118:M118"/>
    <mergeCell ref="A2:M2"/>
    <mergeCell ref="A85:M85"/>
    <mergeCell ref="A42:M42"/>
    <mergeCell ref="H59:M59"/>
    <mergeCell ref="H46:M46"/>
    <mergeCell ref="B64:E64"/>
    <mergeCell ref="H52:M52"/>
    <mergeCell ref="H108:M108"/>
    <mergeCell ref="H79:M79"/>
    <mergeCell ref="B51:E51"/>
    <mergeCell ref="H102:I102"/>
    <mergeCell ref="B114:E114"/>
    <mergeCell ref="H45:M45"/>
    <mergeCell ref="B63:E63"/>
    <mergeCell ref="B41:E41"/>
    <mergeCell ref="H72:M72"/>
    <mergeCell ref="B50:E50"/>
    <mergeCell ref="B106:E106"/>
    <mergeCell ref="H81:M81"/>
    <mergeCell ref="H65:M65"/>
    <mergeCell ref="H47:M47"/>
    <mergeCell ref="B66:E66"/>
    <mergeCell ref="H71:M71"/>
    <mergeCell ref="H120:M120"/>
    <mergeCell ref="A61:M61"/>
    <mergeCell ref="H76:M76"/>
    <mergeCell ref="A88:M88"/>
    <mergeCell ref="B77:E77"/>
    <mergeCell ref="B117:E117"/>
    <mergeCell ref="H82:M82"/>
    <mergeCell ref="B67:E67"/>
    <mergeCell ref="A90:M90"/>
    <mergeCell ref="H54:M54"/>
    <mergeCell ref="H63:M63"/>
    <mergeCell ref="B53:E53"/>
    <mergeCell ref="H41:M41"/>
    <mergeCell ref="H95:I95"/>
    <mergeCell ref="B119:E119"/>
    <mergeCell ref="H50:M50"/>
    <mergeCell ref="A105:M105"/>
    <mergeCell ref="H56:M56"/>
    <mergeCell ref="H83:M83"/>
    <mergeCell ref="H97:I97"/>
    <mergeCell ref="B118:E118"/>
    <mergeCell ref="A116:M116"/>
    <mergeCell ref="D31:H31"/>
    <mergeCell ref="B95:E95"/>
    <mergeCell ref="B80:E80"/>
    <mergeCell ref="H69:M69"/>
    <mergeCell ref="B79:E79"/>
    <mergeCell ref="H75:M75"/>
    <mergeCell ref="B97:E97"/>
    <mergeCell ref="B54:E54"/>
    <mergeCell ref="H80:M80"/>
    <mergeCell ref="A92:M92"/>
    <mergeCell ref="B72:E72"/>
    <mergeCell ref="A39:M39"/>
    <mergeCell ref="D32:H32"/>
    <mergeCell ref="B81:E81"/>
    <mergeCell ref="B121:E121"/>
    <mergeCell ref="A49:M49"/>
    <mergeCell ref="H48:M48"/>
    <mergeCell ref="B122:E122"/>
    <mergeCell ref="B56:E56"/>
    <mergeCell ref="B71:E71"/>
    <mergeCell ref="A1:M1"/>
    <mergeCell ref="A94:M94"/>
    <mergeCell ref="H62:M62"/>
    <mergeCell ref="B43:E43"/>
    <mergeCell ref="B58:E58"/>
    <mergeCell ref="H100:I100"/>
    <mergeCell ref="B52:E52"/>
    <mergeCell ref="H106:M106"/>
    <mergeCell ref="B120:E120"/>
    <mergeCell ref="A87:M87"/>
    <mergeCell ref="B60:E60"/>
    <mergeCell ref="H43:M43"/>
    <mergeCell ref="B57:E57"/>
    <mergeCell ref="A89:M89"/>
    <mergeCell ref="B44:E44"/>
    <mergeCell ref="H121:M121"/>
    <mergeCell ref="H74:M74"/>
    <mergeCell ref="B99:E99"/>
    <mergeCell ref="H68:M68"/>
    <mergeCell ref="B108:E108"/>
    <mergeCell ref="H117:M117"/>
    <mergeCell ref="D34:H34"/>
    <mergeCell ref="B83:E83"/>
    <mergeCell ref="H123:M123"/>
    <mergeCell ref="H110:M110"/>
    <mergeCell ref="B124:E124"/>
    <mergeCell ref="A91:M91"/>
    <mergeCell ref="H119:M119"/>
    <mergeCell ref="H109:M109"/>
    <mergeCell ref="H57:M57"/>
    <mergeCell ref="B75:E75"/>
    <mergeCell ref="H66:M66"/>
    <mergeCell ref="H98:I98"/>
    <mergeCell ref="B62:E62"/>
    <mergeCell ref="B59:E59"/>
    <mergeCell ref="A4:F4"/>
    <mergeCell ref="H111:M111"/>
    <mergeCell ref="B46:E46"/>
    <mergeCell ref="B96:E96"/>
    <mergeCell ref="B70:E70"/>
    <mergeCell ref="B48:E48"/>
    <mergeCell ref="H99:I99"/>
    <mergeCell ref="B111:E111"/>
    <mergeCell ref="B98:E98"/>
    <mergeCell ref="H78:M78"/>
    <mergeCell ref="H112:M112"/>
    <mergeCell ref="H101:I101"/>
    <mergeCell ref="B73:E73"/>
    <mergeCell ref="H122:M122"/>
    <mergeCell ref="H44:M44"/>
    <mergeCell ref="D33:H33"/>
    <mergeCell ref="B82:E82"/>
    <mergeCell ref="A55:M55"/>
    <mergeCell ref="H58:M58"/>
    <mergeCell ref="H114:M114"/>
    <mergeCell ref="A86:M86"/>
  </mergeCells>
  <conditionalFormatting sqref="K6:K28">
    <cfRule type="expression" priority="5" dxfId="7">
      <formula>K6="Must have"</formula>
    </cfRule>
  </conditionalFormatting>
  <conditionalFormatting sqref="L6:L28">
    <cfRule type="expression" priority="1" dxfId="2">
      <formula>L6="Received"</formula>
    </cfRule>
    <cfRule type="expression" priority="2" dxfId="5">
      <formula>L6="Ordered"</formula>
    </cfRule>
    <cfRule type="expression" priority="3" dxfId="4">
      <formula>L6="To order"</formula>
    </cfRule>
    <cfRule type="expression" priority="4" dxfId="3">
      <formula>L6="Available in lab"</formula>
    </cfRule>
  </conditionalFormatting>
  <dataValidations count="11">
    <dataValidation sqref="G6:H28" showDropDown="0" showInputMessage="0" showErrorMessage="1" allowBlank="1" errorTitle="Number only" error="Type a number (no text such as 'TBD'). Leave blank if unknown." type="decimal" operator="greaterThanOrEqual">
      <formula1>0</formula1>
    </dataValidation>
    <dataValidation sqref="L6:L28" showDropDown="0" showInputMessage="0" showErrorMessage="1" allowBlank="1" errorTitle="Invalid entry" error="Pick a value from the list." type="list">
      <formula1>"Check lab first,Available in lab,To order,Ordered,Received,Not needed"</formula1>
    </dataValidation>
    <dataValidation sqref="K6:K28" showDropDown="0" showInputMessage="0" showErrorMessage="1" allowBlank="1" errorTitle="Invalid entry" error="Pick a value from the list." type="list">
      <formula1>"Must have,Optional,Depends on DO method"</formula1>
    </dataValidation>
    <dataValidation sqref="F43 F44 F45 F108" showDropDown="0" showInputMessage="0" showErrorMessage="1" allowBlank="0" errorTitle="Check this input" error="Whole number of at least 1." type="whole">
      <formula1>1</formula1>
      <formula2>500</formula2>
    </dataValidation>
    <dataValidation sqref="F46 F80 F110 F111 F112 F113" showDropDown="0" showInputMessage="0" showErrorMessage="1" allowBlank="0" errorTitle="Check this input" error="Must be a number greater than 0." type="decimal" operator="greaterThan">
      <formula1>0</formula1>
    </dataValidation>
    <dataValidation sqref="F47 F54" showDropDown="0" showInputMessage="0" showErrorMessage="1" allowBlank="0" errorTitle="Check this input" error="Must be 0 or more." type="decimal" operator="greaterThanOrEqual">
      <formula1>0</formula1>
    </dataValidation>
    <dataValidation sqref="F48" showDropDown="0" showInputMessage="0" showErrorMessage="1" allowBlank="0" errorTitle="Check this input" error="Enter a percentage between 0% and 100%." type="decimal">
      <formula1>0</formula1>
      <formula2>1</formula2>
    </dataValidation>
    <dataValidation sqref="F50" showDropDown="0" showInputMessage="0" showErrorMessage="1" allowBlank="0" errorTitle="Check this input" error="Water temperature must be 0–40 °C (valid range of the DO equation)." type="decimal">
      <formula1>0</formula1>
      <formula2>40</formula2>
    </dataValidation>
    <dataValidation sqref="F51" showDropDown="0" showInputMessage="0" showErrorMessage="1" allowBlank="0" errorTitle="Check this input" error="Elevation in meters (0–3000). Lubbock ≈ 976 m." type="decimal">
      <formula1>0</formula1>
      <formula2>3000</formula2>
    </dataValidation>
    <dataValidation sqref="F52 F114" showDropDown="0" showInputMessage="0" showErrorMessage="1" allowBlank="0" errorTitle="Check this input" error="Enter the assay as a percentage (50–100%)." type="decimal">
      <formula1>0.5</formula1>
      <formula2>1</formula2>
    </dataValidation>
    <dataValidation sqref="F53" showDropDown="0" showInputMessage="0" showErrorMessage="1" allowBlank="0" errorTitle="Check this input" error="Excess factor between 1.0 and 3.0 (recommended 1.25–1.5)." type="decimal">
      <formula1>1</formula1>
      <formula2>3</formula2>
    </dataValidation>
  </dataValidations>
  <hyperlinks>
    <hyperlink xmlns:r="http://schemas.openxmlformats.org/officeDocument/2006/relationships" ref="J6" r:id="rId1"/>
    <hyperlink xmlns:r="http://schemas.openxmlformats.org/officeDocument/2006/relationships" ref="J7" r:id="rId2"/>
    <hyperlink xmlns:r="http://schemas.openxmlformats.org/officeDocument/2006/relationships" ref="J8" r:id="rId3"/>
    <hyperlink xmlns:r="http://schemas.openxmlformats.org/officeDocument/2006/relationships" ref="J9" r:id="rId4"/>
    <hyperlink xmlns:r="http://schemas.openxmlformats.org/officeDocument/2006/relationships" ref="J10" r:id="rId5"/>
    <hyperlink xmlns:r="http://schemas.openxmlformats.org/officeDocument/2006/relationships" ref="J11" r:id="rId6"/>
    <hyperlink xmlns:r="http://schemas.openxmlformats.org/officeDocument/2006/relationships" ref="J12" r:id="rId7"/>
    <hyperlink xmlns:r="http://schemas.openxmlformats.org/officeDocument/2006/relationships" ref="J13" r:id="rId8"/>
    <hyperlink xmlns:r="http://schemas.openxmlformats.org/officeDocument/2006/relationships" ref="J14" r:id="rId9"/>
    <hyperlink xmlns:r="http://schemas.openxmlformats.org/officeDocument/2006/relationships" ref="J15" r:id="rId10"/>
    <hyperlink xmlns:r="http://schemas.openxmlformats.org/officeDocument/2006/relationships" ref="J16" r:id="rId11"/>
    <hyperlink xmlns:r="http://schemas.openxmlformats.org/officeDocument/2006/relationships" ref="J17" r:id="rId12"/>
    <hyperlink xmlns:r="http://schemas.openxmlformats.org/officeDocument/2006/relationships" ref="J18" r:id="rId13"/>
    <hyperlink xmlns:r="http://schemas.openxmlformats.org/officeDocument/2006/relationships" ref="J19" r:id="rId14"/>
    <hyperlink xmlns:r="http://schemas.openxmlformats.org/officeDocument/2006/relationships" ref="J20" r:id="rId15"/>
    <hyperlink xmlns:r="http://schemas.openxmlformats.org/officeDocument/2006/relationships" ref="J21" r:id="rId16"/>
    <hyperlink xmlns:r="http://schemas.openxmlformats.org/officeDocument/2006/relationships" ref="J26" r:id="rId17"/>
    <hyperlink xmlns:r="http://schemas.openxmlformats.org/officeDocument/2006/relationships" ref="J27" r:id="rId18"/>
  </hyperlink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7F1D1D"/>
    <outlinePr summaryBelow="1" summaryRight="1"/>
    <pageSetUpPr fitToPage="1"/>
  </sheetPr>
  <dimension ref="A1:U19"/>
  <sheetViews>
    <sheetView showGridLines="0" zoomScale="98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N11" sqref="N11"/>
    </sheetView>
  </sheetViews>
  <sheetFormatPr baseColWidth="8" defaultRowHeight="15"/>
  <cols>
    <col width="4" customWidth="1" style="81" min="1" max="1"/>
    <col width="20" customWidth="1" style="81" min="2" max="2"/>
    <col width="30" customWidth="1" style="81" min="3" max="3"/>
    <col width="14" customWidth="1" style="81" min="4" max="5"/>
    <col width="16" customWidth="1" style="81" min="6" max="6"/>
    <col width="18" customWidth="1" style="81" min="7" max="7"/>
    <col width="22" customWidth="1" style="81" min="8" max="8"/>
    <col width="20" customWidth="1" style="81" min="9" max="9"/>
    <col width="38" customWidth="1" style="81" min="10" max="10"/>
    <col width="9" customWidth="1" style="81" min="11" max="12"/>
    <col width="11" customWidth="1" style="81" min="13" max="13"/>
    <col width="9" customWidth="1" style="81" min="14" max="14"/>
    <col width="8" customWidth="1" style="81" min="15" max="15"/>
    <col width="11" customWidth="1" style="81" min="16" max="16"/>
    <col width="7" customWidth="1" style="81" min="17" max="17"/>
    <col width="10" customWidth="1" style="81" min="18" max="18"/>
    <col width="6" customWidth="1" style="81" min="19" max="19"/>
    <col width="11" customWidth="1" style="81" min="20" max="20"/>
    <col width="8" customWidth="1" style="81" min="21" max="21"/>
  </cols>
  <sheetData>
    <row r="1" ht="30" customHeight="1" s="81">
      <c r="A1" s="82" t="inlineStr">
        <is>
          <t>Dissolved-Oxygen Measurement — Options &amp; Decision Matrix</t>
        </is>
      </c>
    </row>
    <row r="2" ht="28.15" customHeight="1" s="81">
      <c r="A2" s="80" t="inlineStr">
        <is>
          <t>The lab's DO probe is damaged. These are INITIAL alternatives (not a final choice). Scores 1–5 (5 = best) are editable starting suggestions; change the weights to match what matters most. Availability = can be had quickly (in lab or off-the-shelf in the US). The weighted score and rank update automatically.</t>
        </is>
      </c>
    </row>
    <row r="4">
      <c r="A4" s="108" t="inlineStr">
        <is>
          <t>Criteria weights →</t>
        </is>
      </c>
      <c r="K4" s="53" t="n">
        <v>0.2</v>
      </c>
      <c r="L4" s="53" t="n">
        <v>0.2</v>
      </c>
      <c r="M4" s="53" t="n">
        <v>0.15</v>
      </c>
      <c r="N4" s="53" t="n">
        <v>0.15</v>
      </c>
      <c r="O4" s="53" t="n">
        <v>0.1</v>
      </c>
      <c r="P4" s="53" t="n">
        <v>0.1</v>
      </c>
      <c r="Q4" s="53" t="n">
        <v>0.1</v>
      </c>
      <c r="R4" s="68">
        <f>SUM(K4:Q4)</f>
        <v/>
      </c>
      <c r="S4" s="69">
        <f>IF(ROUND(R4,4)=1,"✔ weights = 100%","⚠ weights ≠ 100%")</f>
        <v/>
      </c>
    </row>
    <row r="5" ht="48" customHeight="1" s="81">
      <c r="A5" s="94" t="inlineStr">
        <is>
          <t>#</t>
        </is>
      </c>
      <c r="B5" s="94" t="inlineStr">
        <is>
          <t>Method</t>
        </is>
      </c>
      <c r="C5" s="94" t="inlineStr">
        <is>
          <t>How it works</t>
        </is>
      </c>
      <c r="D5" s="94" t="inlineStr">
        <is>
          <t>Measurement time</t>
        </is>
      </c>
      <c r="E5" s="94" t="inlineStr">
        <is>
          <t>Closed system?</t>
        </is>
      </c>
      <c r="F5" s="94" t="inlineStr">
        <is>
          <t>Open / penetrate container?</t>
        </is>
      </c>
      <c r="G5" s="94" t="inlineStr">
        <is>
          <t>Accuracy / range</t>
        </is>
      </c>
      <c r="H5" s="94" t="inlineStr">
        <is>
          <t>Equipment &amp; cost (approx.)</t>
        </is>
      </c>
      <c r="I5" s="94" t="inlineStr">
        <is>
          <t>Example product / link</t>
        </is>
      </c>
      <c r="J5" s="94" t="inlineStr">
        <is>
          <t>Pros / Cons</t>
        </is>
      </c>
      <c r="K5" s="94" t="inlineStr">
        <is>
          <t>Measure time
(~2 min)</t>
        </is>
      </c>
      <c r="L5" s="94" t="inlineStr">
        <is>
          <t>Closed
system</t>
        </is>
      </c>
      <c r="M5" s="94" t="inlineStr">
        <is>
          <t>No opening /
penetration</t>
        </is>
      </c>
      <c r="N5" s="94" t="inlineStr">
        <is>
          <t>Accuracy</t>
        </is>
      </c>
      <c r="O5" s="94" t="inlineStr">
        <is>
          <t>Ease of
use</t>
        </is>
      </c>
      <c r="P5" s="94" t="inlineStr">
        <is>
          <t>Availability
(in lab / off-
the-shelf)</t>
        </is>
      </c>
      <c r="Q5" s="94" t="inlineStr">
        <is>
          <t>Cost</t>
        </is>
      </c>
      <c r="R5" s="94" t="inlineStr">
        <is>
          <t>Weighted
score</t>
        </is>
      </c>
      <c r="S5" s="94" t="inlineStr">
        <is>
          <t>Rank</t>
        </is>
      </c>
      <c r="T5" s="94" t="inlineStr">
        <is>
          <t>Decision</t>
        </is>
      </c>
      <c r="U5" s="94" t="inlineStr">
        <is>
          <t>Gives
mg/L?</t>
        </is>
      </c>
    </row>
    <row r="6" ht="105" customHeight="1" s="81">
      <c r="A6" s="70" t="n">
        <v>1</v>
      </c>
      <c r="B6" s="71" t="inlineStr">
        <is>
          <t>Optical sensor spots + fiber reader (PreSens SP-PSt3 + Fibox 4, or PyroScience OXSP5 + FireSting-O2)</t>
        </is>
      </c>
      <c r="C6" s="72" t="inlineStr">
        <is>
          <t>A luminescent spot glued inside the clear wall is quenched by O₂; a fiber-optic reader outside the wall reads DO through the wall.</t>
        </is>
      </c>
      <c r="D6" s="72" t="inlineStr">
        <is>
          <t>Seconds per reading; logs continuously</t>
        </is>
      </c>
      <c r="E6" s="72" t="inlineStr">
        <is>
          <t>Yes — fully closed</t>
        </is>
      </c>
      <c r="F6" s="72" t="inlineStr">
        <is>
          <t>None after the spot is glued in once (needs a clear wall)</t>
        </is>
      </c>
      <c r="G6" s="72" t="inlineStr">
        <is>
          <t>Research grade after 2-point calibration; down to near-zero O₂</t>
        </is>
      </c>
      <c r="H6" s="72" t="inlineStr">
        <is>
          <t>Spots ~$40 each (PyroScience €300/8); reader quote-only, est. $2,000–5,000</t>
        </is>
      </c>
      <c r="I6" s="73" t="inlineStr">
        <is>
          <t>PyroScience OXSP5 spots</t>
        </is>
      </c>
      <c r="J6" s="72" t="inlineStr">
        <is>
          <t>PROS: Truly non-invasive; continuous DO-vs-time curves; very accurate; consumes no O₂.
CONS: Reader costs thousands (quote-only, imported). Worth it only if someone at TTU already owns a reader — then buy spots only.</t>
        </is>
      </c>
      <c r="K6" s="74" t="n">
        <v>5</v>
      </c>
      <c r="L6" s="74" t="n">
        <v>5</v>
      </c>
      <c r="M6" s="74" t="n">
        <v>5</v>
      </c>
      <c r="N6" s="74" t="n">
        <v>5</v>
      </c>
      <c r="O6" s="74" t="n">
        <v>3</v>
      </c>
      <c r="P6" s="74" t="n">
        <v>2</v>
      </c>
      <c r="Q6" s="74" t="n">
        <v>1</v>
      </c>
      <c r="R6" s="75">
        <f>IF(COUNT(K6:Q6)=0,"",ROUND(SUMPRODUCT(K6:Q6,$K$4:$Q$4)/SUM($K$4:$Q$4),2))</f>
        <v/>
      </c>
      <c r="S6" s="76">
        <f>IF(ISNUMBER(R6),RANK(R6,$R$6:$R$16,0),"")</f>
        <v/>
      </c>
      <c r="T6" s="39" t="inlineStr">
        <is>
          <t>Evaluate</t>
        </is>
      </c>
      <c r="U6" s="33" t="inlineStr">
        <is>
          <t>Y</t>
        </is>
      </c>
    </row>
    <row r="7" ht="105" customHeight="1" s="81">
      <c r="A7" s="70" t="n">
        <v>2</v>
      </c>
      <c r="B7" s="71" t="inlineStr">
        <is>
          <t>Optical DO probe sealed through the lid (Vernier GDX-ODO; PASCO PS-3246 similar)</t>
        </is>
      </c>
      <c r="C7" s="72" t="inlineStr">
        <is>
          <t>Luminescent cap on the probe tip; reports mg/L with automatic temperature/pressure compensation.</t>
        </is>
      </c>
      <c r="D7" s="72" t="inlineStr">
        <is>
          <t>90% of reading in 40 s</t>
        </is>
      </c>
      <c r="E7" s="72" t="inlineStr">
        <is>
          <t>Yes, if sealed through the lid with a stopper/grommet</t>
        </is>
      </c>
      <c r="F7" s="72" t="inlineStr">
        <is>
          <t>One-time sealed hole in the lid</t>
        </is>
      </c>
      <c r="G7" s="72" t="inlineStr">
        <is>
          <t>0–20 mg/L, ±0.2 mg/L (&lt;10 mg/L)</t>
        </is>
      </c>
      <c r="H7" s="72" t="inlineStr">
        <is>
          <t>$409 per probe (Vernier); PASCO ~$404. Replacement sensing cap $89 (2-yr warranty). ~$0 per test</t>
        </is>
      </c>
      <c r="I7" s="73" t="inlineStr">
        <is>
          <t>Vernier GDX-ODO</t>
        </is>
      </c>
      <c r="J7" s="72" t="inlineStr">
        <is>
          <t>PROS: Direct replacement for the broken probe; factory calibrated; no stirring; consumes no O₂; easy for undergrads. (Closed-system scores assume the probe stays sealed in the lid for a whole run — lower them if 1–2 probes are moved between containers.)
CONS: $409 each — share 1–2 probes across groups; probe must be sealed through the lid; removing it lets air in.</t>
        </is>
      </c>
      <c r="K7" s="74" t="n">
        <v>5</v>
      </c>
      <c r="L7" s="74" t="n">
        <v>4</v>
      </c>
      <c r="M7" s="74" t="n">
        <v>4</v>
      </c>
      <c r="N7" s="74" t="n">
        <v>4</v>
      </c>
      <c r="O7" s="74" t="n">
        <v>5</v>
      </c>
      <c r="P7" s="74" t="n">
        <v>5</v>
      </c>
      <c r="Q7" s="74" t="n">
        <v>2</v>
      </c>
      <c r="R7" s="75">
        <f>IF(COUNT(K7:Q7)=0,"",ROUND(SUMPRODUCT(K7:Q7,$K$4:$Q$4)/SUM($K$4:$Q$4),2))</f>
        <v/>
      </c>
      <c r="S7" s="76">
        <f>IF(ISNUMBER(R7),RANK(R7,$R$6:$R$16,0),"")</f>
        <v/>
      </c>
      <c r="T7" s="39" t="inlineStr">
        <is>
          <t>Shortlist</t>
        </is>
      </c>
      <c r="U7" s="33" t="inlineStr">
        <is>
          <t>Y</t>
        </is>
      </c>
    </row>
    <row r="8" ht="105" customHeight="1" s="81">
      <c r="A8" s="70" t="n">
        <v>3</v>
      </c>
      <c r="B8" s="71" t="inlineStr">
        <is>
          <t>Repair the existing DO probe (new membrane cap + filling solution)</t>
        </is>
      </c>
      <c r="C8" s="72" t="inlineStr">
        <is>
          <t>Most 'damaged' Clark/polarographic probes fail at the membrane or electrolyte; replacing them can restore the probe.</t>
        </is>
      </c>
      <c r="D8" s="72" t="inlineStr">
        <is>
          <t>30–45 s per reading (+ ~10 min warm-up)</t>
        </is>
      </c>
      <c r="E8" s="72" t="inlineStr">
        <is>
          <t>Yes, if sealed through the lid (needs stirring)</t>
        </is>
      </c>
      <c r="F8" s="72" t="inlineStr">
        <is>
          <t>One-time sealed hole in the lid</t>
        </is>
      </c>
      <c r="G8" s="72" t="inlineStr">
        <is>
          <t>e.g., Vernier DO-BTA 0–15 mg/L, ±0.2 mg/L</t>
        </is>
      </c>
      <c r="H8" s="72" t="inlineStr">
        <is>
          <t>Membrane cap $19 (Vernier MEM) + filling solution ≈ $20–50 total</t>
        </is>
      </c>
      <c r="I8" s="73" t="inlineStr">
        <is>
          <t>Vernier MEM membrane cap</t>
        </is>
      </c>
      <c r="J8" s="72" t="inlineStr">
        <is>
          <t>PROS: Cheapest route to a quantitative probe; uses equipment the lab already owns.
CONS: Works only if the damage is the membrane/electrolyte. Consumes O₂ and needs stirring in a small sealed vessel.</t>
        </is>
      </c>
      <c r="K8" s="74" t="n">
        <v>3</v>
      </c>
      <c r="L8" s="74" t="n">
        <v>4</v>
      </c>
      <c r="M8" s="74" t="n">
        <v>4</v>
      </c>
      <c r="N8" s="74" t="n">
        <v>4</v>
      </c>
      <c r="O8" s="74" t="n">
        <v>3</v>
      </c>
      <c r="P8" s="74" t="n">
        <v>4</v>
      </c>
      <c r="Q8" s="74" t="n">
        <v>5</v>
      </c>
      <c r="R8" s="75">
        <f>IF(COUNT(K8:Q8)=0,"",ROUND(SUMPRODUCT(K8:Q8,$K$4:$Q$4)/SUM($K$4:$Q$4),2))</f>
        <v/>
      </c>
      <c r="S8" s="76">
        <f>IF(ISNUMBER(R8),RANK(R8,$R$6:$R$16,0),"")</f>
        <v/>
      </c>
      <c r="T8" s="39" t="inlineStr">
        <is>
          <t>Shortlist</t>
        </is>
      </c>
      <c r="U8" s="33" t="inlineStr">
        <is>
          <t>Y</t>
        </is>
      </c>
    </row>
    <row r="9" ht="105" customHeight="1" s="81">
      <c r="A9" s="70" t="n">
        <v>4</v>
      </c>
      <c r="B9" s="71" t="inlineStr">
        <is>
          <t>Methylene blue / leuco-methylene blue color indicator (with Na₂S₂O₄)</t>
        </is>
      </c>
      <c r="C9" s="72" t="inlineStr">
        <is>
          <t>Dithionite turns methylene blue colorless; O₂ entering the sealed container turns it blue again.</t>
        </is>
      </c>
      <c r="D9" s="72" t="inlineStr">
        <is>
          <t>Instant (visual) or 10–30 s phone photo</t>
        </is>
      </c>
      <c r="E9" s="72" t="inlineStr">
        <is>
          <t>Yes — read through a clear wall</t>
        </is>
      </c>
      <c r="F9" s="72" t="inlineStr">
        <is>
          <t>None</t>
        </is>
      </c>
      <c r="G9" s="72" t="inlineStr">
        <is>
          <t>Qualitative / semi-quantitative: shows O₂ ingress (time to turn blue), not mg/L. Saturates at ~0.1–0.25 mg/L O₂ for 2–5 mg/L dye</t>
        </is>
      </c>
      <c r="H9" s="72" t="inlineStr">
        <is>
          <t>Chemicals already being bought; &lt; $0.10 per test</t>
        </is>
      </c>
      <c r="I9" s="73" t="inlineStr">
        <is>
          <t>Sigma-Aldrich 66720 methylene blue</t>
        </is>
      </c>
      <c r="J9" s="72" t="inlineStr">
        <is>
          <t>PROS: Almost free; every group can run it; makes O₂ diffusion visible; phone-camera RGB analysis is a nice design add-on.
CONS: Not a DO concentration; light-sensitive; depends on dye/reductant dose — cross-check with a probe or CHEMets.</t>
        </is>
      </c>
      <c r="K9" s="74" t="n">
        <v>5</v>
      </c>
      <c r="L9" s="74" t="n">
        <v>5</v>
      </c>
      <c r="M9" s="74" t="n">
        <v>5</v>
      </c>
      <c r="N9" s="74" t="n">
        <v>2</v>
      </c>
      <c r="O9" s="74" t="n">
        <v>5</v>
      </c>
      <c r="P9" s="74" t="n">
        <v>5</v>
      </c>
      <c r="Q9" s="74" t="n">
        <v>5</v>
      </c>
      <c r="R9" s="75">
        <f>IF(COUNT(K9:Q9)=0,"",ROUND(SUMPRODUCT(K9:Q9,$K$4:$Q$4)/SUM($K$4:$Q$4),2))</f>
        <v/>
      </c>
      <c r="S9" s="76">
        <f>IF(ISNUMBER(R9),RANK(R9,$R$6:$R$16,0),"")</f>
        <v/>
      </c>
      <c r="T9" s="39" t="inlineStr">
        <is>
          <t>Shortlist</t>
        </is>
      </c>
      <c r="U9" s="33" t="inlineStr">
        <is>
          <t>N</t>
        </is>
      </c>
    </row>
    <row r="10" ht="105" customHeight="1" s="81">
      <c r="A10" s="70" t="n">
        <v>5</v>
      </c>
      <c r="B10" s="71" t="inlineStr">
        <is>
          <t>Resazurin / resorufin color indicator</t>
        </is>
      </c>
      <c r="C10" s="72" t="inlineStr">
        <is>
          <t>Reduced (colorless) dihydroresorufin turns pink when O₂ returns.</t>
        </is>
      </c>
      <c r="D10" s="72" t="inlineStr">
        <is>
          <t>Instant (visual)</t>
        </is>
      </c>
      <c r="E10" s="72" t="inlineStr">
        <is>
          <t>Yes — read through a clear wall</t>
        </is>
      </c>
      <c r="F10" s="72" t="inlineStr">
        <is>
          <t>None</t>
        </is>
      </c>
      <c r="G10" s="72" t="inlineStr">
        <is>
          <t>Qualitative only; responds to trace O₂ earlier than methylene blue</t>
        </is>
      </c>
      <c r="H10" s="72" t="inlineStr">
        <is>
          <t>Small bottle of resazurin; &lt; $0.10 per test</t>
        </is>
      </c>
      <c r="I10" s="73" t="inlineStr">
        <is>
          <t>Sigma-Aldrich R7017 resazurin</t>
        </is>
      </c>
      <c r="J10" s="72" t="inlineStr">
        <is>
          <t>PROS: Very cheap; closed system; pink color avoids confusion with the methylene-blue half.
CONS: No DO calibration; first reduction step is irreversible; one more chemical to buy.</t>
        </is>
      </c>
      <c r="K10" s="74" t="n">
        <v>5</v>
      </c>
      <c r="L10" s="74" t="n">
        <v>5</v>
      </c>
      <c r="M10" s="74" t="n">
        <v>5</v>
      </c>
      <c r="N10" s="74" t="n">
        <v>1</v>
      </c>
      <c r="O10" s="74" t="n">
        <v>4</v>
      </c>
      <c r="P10" s="74" t="n">
        <v>4</v>
      </c>
      <c r="Q10" s="74" t="n">
        <v>5</v>
      </c>
      <c r="R10" s="75">
        <f>IF(COUNT(K10:Q10)=0,"",ROUND(SUMPRODUCT(K10:Q10,$K$4:$Q$4)/SUM($K$4:$Q$4),2))</f>
        <v/>
      </c>
      <c r="S10" s="76">
        <f>IF(ISNUMBER(R10),RANK(R10,$R$6:$R$16,0),"")</f>
        <v/>
      </c>
      <c r="T10" s="39" t="inlineStr">
        <is>
          <t>Evaluate</t>
        </is>
      </c>
      <c r="U10" s="33" t="inlineStr">
        <is>
          <t>N</t>
        </is>
      </c>
    </row>
    <row r="11" ht="105" customHeight="1" s="81">
      <c r="A11" s="70" t="n">
        <v>6</v>
      </c>
      <c r="B11" s="71" t="inlineStr">
        <is>
          <t>Colorimetric ampoules (CHEMetrics CHEMets K-7512 1–12 ppm / K-7501 0–1 ppm)</t>
        </is>
      </c>
      <c r="C11" s="72" t="inlineStr">
        <is>
          <t>A vacuum ampoule snapped in a sample fills itself; DO develops a color matched to a comparator.</t>
        </is>
      </c>
      <c r="D11" s="72" t="inlineStr">
        <is>
          <t>~2 min + ~1 min sampling</t>
        </is>
      </c>
      <c r="E11" s="72" t="inlineStr">
        <is>
          <t>No — a ~25 mL sample must leave the container</t>
        </is>
      </c>
      <c r="F11" s="72" t="inlineStr">
        <is>
          <t>Open the lid or syringe through a septum</t>
        </is>
      </c>
      <c r="G11" s="72" t="inlineStr">
        <is>
          <t>K-7512: ±~1 ppm steps; K-7501: 0–1 ppm (MDL 0.025 ppm)</t>
        </is>
      </c>
      <c r="H11" s="72" t="inlineStr">
        <is>
          <t>~$70 per kit of 30 tests (~$2.3/test); no instrument</t>
        </is>
      </c>
      <c r="I11" s="73" t="inlineStr">
        <is>
          <t>CHEMetrics K-7512</t>
        </is>
      </c>
      <c r="J11" s="72" t="inlineStr">
        <is>
          <t>PROS: Cheap, fast, foolproof; K-7501 confirms the water really is near 0 ppm.
CONS: Destructive — breaks the closed system; coarse resolution; leftover dithionite biases low.</t>
        </is>
      </c>
      <c r="K11" s="74" t="n">
        <v>4</v>
      </c>
      <c r="L11" s="74" t="n">
        <v>2</v>
      </c>
      <c r="M11" s="74" t="n">
        <v>2</v>
      </c>
      <c r="N11" s="74" t="n">
        <v>2</v>
      </c>
      <c r="O11" s="74" t="n">
        <v>5</v>
      </c>
      <c r="P11" s="74" t="n">
        <v>5</v>
      </c>
      <c r="Q11" s="74" t="n">
        <v>4</v>
      </c>
      <c r="R11" s="75">
        <f>IF(COUNT(K11:Q11)=0,"",ROUND(SUMPRODUCT(K11:Q11,$K$4:$Q$4)/SUM($K$4:$Q$4),2))</f>
        <v/>
      </c>
      <c r="S11" s="76">
        <f>IF(ISNUMBER(R11),RANK(R11,$R$6:$R$16,0),"")</f>
        <v/>
      </c>
      <c r="T11" s="39" t="inlineStr">
        <is>
          <t>Evaluate</t>
        </is>
      </c>
      <c r="U11" s="33" t="inlineStr">
        <is>
          <t>Y</t>
        </is>
      </c>
    </row>
    <row r="12" ht="105" customHeight="1" s="81">
      <c r="A12" s="70" t="n">
        <v>7</v>
      </c>
      <c r="B12" s="71" t="inlineStr">
        <is>
          <t>Winkler (iodometric) titration kit (LaMotte 5860-01 or Hach OX-2P)</t>
        </is>
      </c>
      <c r="C12" s="72" t="inlineStr">
        <is>
          <t>O₂ is fixed as manganese oxide, then titrated with thiosulfate to a starch endpoint.</t>
        </is>
      </c>
      <c r="D12" s="72" t="inlineStr">
        <is>
          <t>10–15 min per sample</t>
        </is>
      </c>
      <c r="E12" s="72" t="inlineStr">
        <is>
          <t>No</t>
        </is>
      </c>
      <c r="F12" s="72" t="inlineStr">
        <is>
          <t>Must open the container and fill a sample bottle</t>
        </is>
      </c>
      <c r="G12" s="72" t="inlineStr">
        <is>
          <t>Reference method; LaMotte 0–10 ppm in 0.2 ppm steps; Hach OX-2P 0.2–4 &amp; 1–20 mg/L</t>
        </is>
      </c>
      <c r="H12" s="72" t="inlineStr">
        <is>
          <t>Kit: LaMotte 5860-01 ~$63–104 / 50 tests; Hach OX-2P ~$189 / 100 (search-listing prices). DIY Sigma reagents ≈ $407 (sodium azide is fatal on skin contact)</t>
        </is>
      </c>
      <c r="I12" s="73" t="inlineStr">
        <is>
          <t>LaMotte 5860-01</t>
        </is>
      </c>
      <c r="J12" s="72" t="inlineStr">
        <is>
          <t>PROS: Classical standard method with high teaching value; no instrument.
CONS: Slowest (far from ~2 min); destructive; dithionite/sulfite interfere (low bias); several hazardous reagents.</t>
        </is>
      </c>
      <c r="K12" s="74" t="n">
        <v>2</v>
      </c>
      <c r="L12" s="74" t="n">
        <v>1</v>
      </c>
      <c r="M12" s="74" t="n">
        <v>1</v>
      </c>
      <c r="N12" s="74" t="n">
        <v>4</v>
      </c>
      <c r="O12" s="74" t="n">
        <v>2</v>
      </c>
      <c r="P12" s="74" t="n">
        <v>5</v>
      </c>
      <c r="Q12" s="74" t="n">
        <v>4</v>
      </c>
      <c r="R12" s="75">
        <f>IF(COUNT(K12:Q12)=0,"",ROUND(SUMPRODUCT(K12:Q12,$K$4:$Q$4)/SUM($K$4:$Q$4),2))</f>
        <v/>
      </c>
      <c r="S12" s="76">
        <f>IF(ISNUMBER(R12),RANK(R12,$R$6:$R$16,0),"")</f>
        <v/>
      </c>
      <c r="T12" s="39" t="inlineStr">
        <is>
          <t>Rejected</t>
        </is>
      </c>
      <c r="U12" s="33" t="inlineStr">
        <is>
          <t>Y</t>
        </is>
      </c>
    </row>
    <row r="13" ht="105" customHeight="1" s="81">
      <c r="A13" s="70" t="n">
        <v>8</v>
      </c>
      <c r="B13" s="71" t="inlineStr">
        <is>
          <t>Hach AccuVac ampoules + DR300 pocket colorimeter</t>
        </is>
      </c>
      <c r="C13" s="72" t="inlineStr">
        <is>
          <t>Evacuated ampoule filled under the sample; colorimeter reads the color at 520 nm.</t>
        </is>
      </c>
      <c r="D13" s="72" t="inlineStr">
        <is>
          <t>~4–5 min</t>
        </is>
      </c>
      <c r="E13" s="72" t="inlineStr">
        <is>
          <t>No — sample removed</t>
        </is>
      </c>
      <c r="F13" s="72" t="inlineStr">
        <is>
          <t>Open the container (≥40 mL sample)</t>
        </is>
      </c>
      <c r="G13" s="72" t="inlineStr">
        <is>
          <t>0.3–15 mg/L, digital readout</t>
        </is>
      </c>
      <c r="H13" s="72" t="inlineStr">
        <is>
          <t>Ampoules ~$55 / 25; DR300 ~$711 (search-listing prices)</t>
        </is>
      </c>
      <c r="I13" s="73" t="inlineStr">
        <is>
          <t>Hach 2515025 AccuVac</t>
        </is>
      </c>
      <c r="J13" s="72" t="inlineStr">
        <is>
          <t>PROS: Numeric reading; could use an existing spectrophotometer (18 mm vials).
CONS: Destructive and slow; colorimeter costs more than an optical probe.</t>
        </is>
      </c>
      <c r="K13" s="74" t="n">
        <v>3</v>
      </c>
      <c r="L13" s="74" t="n">
        <v>2</v>
      </c>
      <c r="M13" s="74" t="n">
        <v>2</v>
      </c>
      <c r="N13" s="74" t="n">
        <v>4</v>
      </c>
      <c r="O13" s="74" t="n">
        <v>4</v>
      </c>
      <c r="P13" s="74" t="n">
        <v>4</v>
      </c>
      <c r="Q13" s="74" t="n">
        <v>2</v>
      </c>
      <c r="R13" s="75">
        <f>IF(COUNT(K13:Q13)=0,"",ROUND(SUMPRODUCT(K13:Q13,$K$4:$Q$4)/SUM($K$4:$Q$4),2))</f>
        <v/>
      </c>
      <c r="S13" s="76">
        <f>IF(ISNUMBER(R13),RANK(R13,$R$6:$R$16,0),"")</f>
        <v/>
      </c>
      <c r="T13" s="39" t="inlineStr">
        <is>
          <t>Evaluate</t>
        </is>
      </c>
      <c r="U13" s="33" t="inlineStr">
        <is>
          <t>Y</t>
        </is>
      </c>
    </row>
    <row r="14" ht="105" customHeight="1" s="81">
      <c r="A14" s="70" t="n">
        <v>9</v>
      </c>
      <c r="B14" s="71" t="inlineStr">
        <is>
          <t>Arduino galvanic DO kit (DFRobot SEN0237-A; Atlas Scientific kit similar)</t>
        </is>
      </c>
      <c r="C14" s="72" t="inlineStr">
        <is>
          <t>Galvanic (Clark-type) cell behind a membrane; current ∝ O₂, read by an Arduino.</t>
        </is>
      </c>
      <c r="D14" s="72" t="inlineStr">
        <is>
          <t>98% response in ~90 s</t>
        </is>
      </c>
      <c r="E14" s="72" t="inlineStr">
        <is>
          <t>Yes, if sealed through the lid (needs stirring)</t>
        </is>
      </c>
      <c r="F14" s="72" t="inlineStr">
        <is>
          <t>One-time sealed hole in the lid</t>
        </is>
      </c>
      <c r="G14" s="72" t="inlineStr">
        <is>
          <t>0–20 mg/L; accuracy not specified (≈ ±0.5 mg/L est.)</t>
        </is>
      </c>
      <c r="H14" s="72" t="inlineStr">
        <is>
          <t>$169 kit + Arduino (~$190–200); Atlas kit $355</t>
        </is>
      </c>
      <c r="I14" s="73" t="inlineStr">
        <is>
          <t>DFRobot SEN0237-A</t>
        </is>
      </c>
      <c r="J14" s="72" t="inlineStr">
        <is>
          <t>PROS: Cheapest continuous electronic option; fits an engineering-design build.
CONS: Consumes O₂ and needs stirring; membrane/electrolyte upkeep; Arduino setup takes TA time.</t>
        </is>
      </c>
      <c r="K14" s="74" t="n">
        <v>4</v>
      </c>
      <c r="L14" s="74" t="n">
        <v>4</v>
      </c>
      <c r="M14" s="74" t="n">
        <v>4</v>
      </c>
      <c r="N14" s="74" t="n">
        <v>3</v>
      </c>
      <c r="O14" s="74" t="n">
        <v>2</v>
      </c>
      <c r="P14" s="74" t="n">
        <v>4</v>
      </c>
      <c r="Q14" s="74" t="n">
        <v>3</v>
      </c>
      <c r="R14" s="75">
        <f>IF(COUNT(K14:Q14)=0,"",ROUND(SUMPRODUCT(K14:Q14,$K$4:$Q$4)/SUM($K$4:$Q$4),2))</f>
        <v/>
      </c>
      <c r="S14" s="76">
        <f>IF(ISNUMBER(R14),RANK(R14,$R$6:$R$16,0),"")</f>
        <v/>
      </c>
      <c r="T14" s="39" t="inlineStr">
        <is>
          <t>Evaluate</t>
        </is>
      </c>
      <c r="U14" s="33" t="inlineStr">
        <is>
          <t>Y</t>
        </is>
      </c>
    </row>
    <row r="15" ht="30" customHeight="1" s="81">
      <c r="A15" s="70" t="n">
        <v>10</v>
      </c>
      <c r="B15" s="71" t="n"/>
      <c r="C15" s="72" t="n"/>
      <c r="D15" s="72" t="n"/>
      <c r="E15" s="72" t="n"/>
      <c r="F15" s="72" t="n"/>
      <c r="G15" s="72" t="n"/>
      <c r="H15" s="72" t="n"/>
      <c r="I15" s="72" t="n"/>
      <c r="J15" s="72" t="n"/>
      <c r="K15" s="74" t="n"/>
      <c r="L15" s="74" t="n"/>
      <c r="M15" s="74" t="n"/>
      <c r="N15" s="74" t="n"/>
      <c r="O15" s="74" t="n"/>
      <c r="P15" s="74" t="n"/>
      <c r="Q15" s="74" t="n"/>
      <c r="R15" s="75">
        <f>IF(COUNT(K15:Q15)=0,"",ROUND(SUMPRODUCT(K15:Q15,$K$4:$Q$4)/SUM($K$4:$Q$4),2))</f>
        <v/>
      </c>
      <c r="S15" s="76">
        <f>IF(ISNUMBER(R15),RANK(R15,$R$6:$R$16,0),"")</f>
        <v/>
      </c>
      <c r="T15" s="39" t="n"/>
      <c r="U15" s="33" t="n"/>
    </row>
    <row r="16" ht="30" customHeight="1" s="81">
      <c r="A16" s="70" t="n">
        <v>11</v>
      </c>
      <c r="B16" s="44" t="inlineStr">
        <is>
          <t>↑ spare rows: add another technique and score it</t>
        </is>
      </c>
      <c r="C16" s="72" t="n"/>
      <c r="D16" s="72" t="n"/>
      <c r="E16" s="72" t="n"/>
      <c r="F16" s="72" t="n"/>
      <c r="G16" s="72" t="n"/>
      <c r="H16" s="72" t="n"/>
      <c r="I16" s="72" t="n"/>
      <c r="J16" s="72" t="n"/>
      <c r="K16" s="74" t="n"/>
      <c r="L16" s="74" t="n"/>
      <c r="M16" s="74" t="n"/>
      <c r="N16" s="74" t="n"/>
      <c r="O16" s="74" t="n"/>
      <c r="P16" s="74" t="n"/>
      <c r="Q16" s="74" t="n"/>
      <c r="R16" s="75">
        <f>IF(COUNT(K16:Q16)=0,"",ROUND(SUMPRODUCT(K16:Q16,$K$4:$Q$4)/SUM($K$4:$Q$4),2))</f>
        <v/>
      </c>
      <c r="S16" s="76">
        <f>IF(ISNUMBER(R16),RANK(R16,$R$6:$R$16,0),"")</f>
        <v/>
      </c>
      <c r="T16" s="39" t="n"/>
      <c r="U16" s="33" t="n"/>
    </row>
    <row r="18" ht="70.15000000000001" customHeight="1" s="81">
      <c r="A18" s="109" t="inlineStr">
        <is>
          <t>Recommendation (research summary): (1) This week: find the brand/model of the broken probe — if it is a membrane-type probe, try a new membrane cap (~$19) first. (2) Main quantitative method: 1–2 optical DO probes (Vernier GDX-ODO, $409) sealed through the lid — fast, no stirring, consumes no O₂. (3) Every group, nearly free: methylene blue (or resazurin) color indicator in a clear container, photographed at fixed times — shows O₂ INGRESS, not mg/L. (4) Optional cross-check: CHEMets K-7501 (0–1 ppm) to confirm the water starts near 0, K-7512 for the end point. Not recommended as the main method: Winkler (slow, destructive, dithionite interferes) and optical spots (reader costs thousands unless borrowed).</t>
        </is>
      </c>
    </row>
    <row r="19">
      <c r="A19" s="107" t="inlineStr">
        <is>
          <t>Previous TA's note: these are starting alternatives. If another technique fits the project's needs and constraints better, use a spare row and score it the same way. 'Gives mg/L?' separates true DO measurements from color indicators on the Dashboard.</t>
        </is>
      </c>
    </row>
  </sheetData>
  <mergeCells count="5">
    <mergeCell ref="A2:U2"/>
    <mergeCell ref="A19:U19"/>
    <mergeCell ref="A4:J4"/>
    <mergeCell ref="A1:U1"/>
    <mergeCell ref="A18:U18"/>
  </mergeCells>
  <conditionalFormatting sqref="K6:Q16">
    <cfRule type="expression" priority="1" dxfId="2">
      <formula>AND(ISNUMBER(K6),K6&gt;=4)</formula>
    </cfRule>
    <cfRule type="expression" priority="2" dxfId="1">
      <formula>AND(ISNUMBER(K6),K6&lt;=2)</formula>
    </cfRule>
  </conditionalFormatting>
  <conditionalFormatting sqref="R6:R16">
    <cfRule type="dataBar" priority="3">
      <dataBar>
        <cfvo type="num" val="1"/>
        <cfvo type="num" val="5"/>
        <color rgb="FF9DC3E6"/>
      </dataBar>
    </cfRule>
  </conditionalFormatting>
  <conditionalFormatting sqref="S6:S16">
    <cfRule type="expression" priority="4" dxfId="0">
      <formula>S6=1</formula>
    </cfRule>
  </conditionalFormatting>
  <dataValidations count="3">
    <dataValidation sqref="K6:Q16" showDropDown="0" showInputMessage="0" showErrorMessage="1" allowBlank="1" error="Score 1 (worst) to 5 (best)." type="whole">
      <formula1>1</formula1>
      <formula2>5</formula2>
    </dataValidation>
    <dataValidation sqref="T6:T16" showDropDown="0" showInputMessage="0" showErrorMessage="1" allowBlank="1" errorTitle="Invalid entry" error="Pick a value from the list." type="list">
      <formula1>"Evaluate,Shortlist,Selected,Rejected"</formula1>
    </dataValidation>
    <dataValidation sqref="U6:U16" showDropDown="0" showInputMessage="1" showErrorMessage="1" allowBlank="1" errorTitle="Invalid entry" error="Pick a value from the list." promptTitle="Choose" prompt="Y = gives a DO concentration in mg/L; N = qualitative indicator" type="list">
      <formula1>"Y,N"</formula1>
    </dataValidation>
  </dataValidations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12" r:id="rId7"/>
    <hyperlink xmlns:r="http://schemas.openxmlformats.org/officeDocument/2006/relationships" ref="I13" r:id="rId8"/>
    <hyperlink xmlns:r="http://schemas.openxmlformats.org/officeDocument/2006/relationships" ref="I14" r:id="rId9"/>
  </hyperlinks>
  <pageMargins left="0.75" right="0.75" top="1" bottom="1" header="0.5" footer="0.5"/>
  <pageSetup orientation="landscape" fitToHeight="0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 fitToPage="1"/>
  </sheetPr>
  <dimension ref="A1:G1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G1"/>
    </sheetView>
  </sheetViews>
  <sheetFormatPr baseColWidth="8" defaultRowHeight="15"/>
  <cols>
    <col width="20" customWidth="1" style="81" min="1" max="1"/>
    <col width="26" customWidth="1" style="81" min="2" max="2"/>
    <col width="52" customWidth="1" style="81" min="3" max="3"/>
    <col width="26" customWidth="1" style="81" min="4" max="4"/>
    <col width="10" customWidth="1" style="81" min="5" max="5"/>
    <col width="46" customWidth="1" style="81" min="6" max="6"/>
    <col width="14" customWidth="1" style="81" min="7" max="7"/>
  </cols>
  <sheetData>
    <row r="1" ht="30" customHeight="1" s="81">
      <c r="A1" s="82" t="inlineStr">
        <is>
          <t>Contacts — Who To Ask For What</t>
        </is>
      </c>
    </row>
    <row r="2" ht="28.15" customHeight="1" s="81">
      <c r="A2" s="80" t="inlineStr">
        <is>
          <t>Open tasks are counted automatically from the Task Tracker (Who / Contact column contains the search key). Next step = that person's open task with the earliest target date.</t>
        </is>
      </c>
    </row>
    <row r="4" ht="31.9" customHeight="1" s="81">
      <c r="A4" s="94" t="inlineStr">
        <is>
          <t>Name</t>
        </is>
      </c>
      <c r="B4" s="94" t="inlineStr">
        <is>
          <t>Role</t>
        </is>
      </c>
      <c r="C4" s="94" t="inlineStr">
        <is>
          <t>What to ask / coordinate</t>
        </is>
      </c>
      <c r="D4" s="94" t="inlineStr">
        <is>
          <t>Email / phone</t>
        </is>
      </c>
      <c r="E4" s="94" t="inlineStr">
        <is>
          <t>Open tasks</t>
        </is>
      </c>
      <c r="F4" s="94" t="inlineStr">
        <is>
          <t>Next step (earliest due)</t>
        </is>
      </c>
      <c r="G4" s="94" t="inlineStr">
        <is>
          <t>Search key</t>
        </is>
      </c>
    </row>
    <row r="5" ht="45" customHeight="1" s="81">
      <c r="A5" s="32" t="inlineStr">
        <is>
          <t>Dr. Gomez</t>
        </is>
      </c>
      <c r="B5" s="31" t="inlineStr">
        <is>
          <t>Course professor</t>
        </is>
      </c>
      <c r="C5" s="31" t="inlineStr">
        <is>
          <t>FOP account for purchases · budget ('under $80' — per group? confirm) and what is due Oct 1 · project split (methylene blue vs. oxygenation) · group formation · choice of DO method</t>
        </is>
      </c>
      <c r="D5" s="77" t="n"/>
      <c r="E5" s="76">
        <f>COUNTIFS(TaskWho,"*"&amp;$G5&amp;"*",TaskStatus,"&lt;&gt;Done")</f>
        <v/>
      </c>
      <c r="F5" s="31">
        <f>IFERROR(INDEX(TaskName,MATCH(_xlfn.AGGREGATE(15,6,TaskSortKey/(ISNUMBER(SEARCH($G5,TaskWho))*(TaskStatus&lt;&gt;"Done")),1),TaskSortKey,0)),IFERROR(INDEX(TaskName,MATCH(1,INDEX(ISNUMBER(SEARCH($G5,TaskWho))*(TaskStatus&lt;&gt;"Done"),0),0)),"—"))</f>
        <v/>
      </c>
      <c r="G5" s="77" t="inlineStr">
        <is>
          <t>Gomez</t>
        </is>
      </c>
    </row>
    <row r="6" ht="45" customHeight="1" s="81">
      <c r="A6" s="32" t="inlineStr">
        <is>
          <t>Mike Nichols</t>
        </is>
      </c>
      <c r="B6" s="31" t="inlineStr">
        <is>
          <t>Lab / safety equipment coordinator</t>
        </is>
      </c>
      <c r="C6" s="31" t="inlineStr">
        <is>
          <t>Lab coats, gloves, safety glasses + rack · lab keys and access · lab-specific training · lab prep</t>
        </is>
      </c>
      <c r="D6" s="77" t="n"/>
      <c r="E6" s="76">
        <f>COUNTIFS(TaskWho,"*"&amp;$G6&amp;"*",TaskStatus,"&lt;&gt;Done")</f>
        <v/>
      </c>
      <c r="F6" s="31">
        <f>IFERROR(INDEX(TaskName,MATCH(_xlfn.AGGREGATE(15,6,TaskSortKey/(ISNUMBER(SEARCH($G6,TaskWho))*(TaskStatus&lt;&gt;"Done")),1),TaskSortKey,0)),IFERROR(INDEX(TaskName,MATCH(1,INDEX(ISNUMBER(SEARCH($G6,TaskWho))*(TaskStatus&lt;&gt;"Done"),0),0)),"—"))</f>
        <v/>
      </c>
      <c r="G6" s="77" t="inlineStr">
        <is>
          <t>Nichols</t>
        </is>
      </c>
    </row>
    <row r="7" ht="45" customHeight="1" s="81">
      <c r="A7" s="32" t="inlineStr">
        <is>
          <t>Luis</t>
        </is>
      </c>
      <c r="B7" s="31" t="inlineStr">
        <is>
          <t>Instructor / grading contact (confirm role)</t>
        </is>
      </c>
      <c r="C7" s="31" t="inlineStr">
        <is>
          <t>Quiz 1 grading criteria · missing quiz scores (2 students)</t>
        </is>
      </c>
      <c r="D7" s="77" t="n"/>
      <c r="E7" s="76">
        <f>COUNTIFS(TaskWho,"*"&amp;$G7&amp;"*",TaskStatus,"&lt;&gt;Done")</f>
        <v/>
      </c>
      <c r="F7" s="31">
        <f>IFERROR(INDEX(TaskName,MATCH(_xlfn.AGGREGATE(15,6,TaskSortKey/(ISNUMBER(SEARCH($G7,TaskWho))*(TaskStatus&lt;&gt;"Done")),1),TaskSortKey,0)),IFERROR(INDEX(TaskName,MATCH(1,INDEX(ISNUMBER(SEARCH($G7,TaskWho))*(TaskStatus&lt;&gt;"Done"),0),0)),"—"))</f>
        <v/>
      </c>
      <c r="G7" s="77" t="inlineStr">
        <is>
          <t>Luis</t>
        </is>
      </c>
    </row>
    <row r="8" ht="45" customHeight="1" s="81">
      <c r="A8" s="32" t="inlineStr">
        <is>
          <t>Luva</t>
        </is>
      </c>
      <c r="B8" s="31" t="inlineStr">
        <is>
          <t>Contact who will talk with Luis (confirm role)</t>
        </is>
      </c>
      <c r="C8" s="31" t="inlineStr">
        <is>
          <t>Follow-up with Luis (from the meeting notes)</t>
        </is>
      </c>
      <c r="D8" s="77" t="n"/>
      <c r="E8" s="76">
        <f>COUNTIFS(TaskWho,"*"&amp;$G8&amp;"*",TaskStatus,"&lt;&gt;Done")</f>
        <v/>
      </c>
      <c r="F8" s="31">
        <f>IFERROR(INDEX(TaskName,MATCH(_xlfn.AGGREGATE(15,6,TaskSortKey/(ISNUMBER(SEARCH($G8,TaskWho))*(TaskStatus&lt;&gt;"Done")),1),TaskSortKey,0)),IFERROR(INDEX(TaskName,MATCH(1,INDEX(ISNUMBER(SEARCH($G8,TaskWho))*(TaskStatus&lt;&gt;"Done"),0),0)),"—"))</f>
        <v/>
      </c>
      <c r="G8" s="77" t="inlineStr">
        <is>
          <t>Luva</t>
        </is>
      </c>
    </row>
    <row r="9" ht="45" customHeight="1" s="81">
      <c r="A9" s="32" t="inlineStr">
        <is>
          <t>Lab personnel / stockroom</t>
        </is>
      </c>
      <c r="B9" s="31" t="inlineStr">
        <is>
          <t>Chemical inventory</t>
        </is>
      </c>
      <c r="C9" s="31" t="inlineStr">
        <is>
          <t>Is Na₂S₂O₄ (sodium hydrosulfite) in stock? Methylene blue? Balances, volumetric flasks, DI water · waste disposal rules</t>
        </is>
      </c>
      <c r="D9" s="77" t="n"/>
      <c r="E9" s="76">
        <f>COUNTIFS(TaskWho,"*"&amp;$G9&amp;"*",TaskStatus,"&lt;&gt;Done")</f>
        <v/>
      </c>
      <c r="F9" s="31">
        <f>IFERROR(INDEX(TaskName,MATCH(_xlfn.AGGREGATE(15,6,TaskSortKey/(ISNUMBER(SEARCH($G9,TaskWho))*(TaskStatus&lt;&gt;"Done")),1),TaskSortKey,0)),IFERROR(INDEX(TaskName,MATCH(1,INDEX(ISNUMBER(SEARCH($G9,TaskWho))*(TaskStatus&lt;&gt;"Done"),0),0)),"—"))</f>
        <v/>
      </c>
      <c r="G9" s="77" t="inlineStr">
        <is>
          <t>Lab personnel</t>
        </is>
      </c>
    </row>
    <row r="10" ht="45" customHeight="1" s="81">
      <c r="A10" s="32" t="inlineStr">
        <is>
          <t>TTU EHS</t>
        </is>
      </c>
      <c r="B10" s="31" t="inlineStr">
        <is>
          <t>Environmental Health &amp; Safety</t>
        </is>
      </c>
      <c r="C10" s="31" t="inlineStr">
        <is>
          <t>Required lab safety training · chemical safety (SDS for Na₂S₂O₄ and methylene blue) · waste pickup</t>
        </is>
      </c>
      <c r="D10" s="77" t="n"/>
      <c r="E10" s="76">
        <f>COUNTIFS(TaskWho,"*"&amp;$G10&amp;"*",TaskStatus,"&lt;&gt;Done")</f>
        <v/>
      </c>
      <c r="F10" s="31">
        <f>IFERROR(INDEX(TaskName,MATCH(_xlfn.AGGREGATE(15,6,TaskSortKey/(ISNUMBER(SEARCH($G10,TaskWho))*(TaskStatus&lt;&gt;"Done")),1),TaskSortKey,0)),IFERROR(INDEX(TaskName,MATCH(1,INDEX(ISNUMBER(SEARCH($G10,TaskWho))*(TaskStatus&lt;&gt;"Done"),0),0)),"—"))</f>
        <v/>
      </c>
      <c r="G10" s="77" t="inlineStr">
        <is>
          <t>EHS</t>
        </is>
      </c>
    </row>
  </sheetData>
  <mergeCells count="2">
    <mergeCell ref="A2:G2"/>
    <mergeCell ref="A1:G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7F7F7F"/>
    <outlinePr summaryBelow="1" summaryRight="1"/>
    <pageSetUpPr fitToPage="1"/>
  </sheetPr>
  <dimension ref="A1:E14"/>
  <sheetViews>
    <sheetView showGridLines="0" workbookViewId="0">
      <selection activeCell="A1" sqref="A1:E1"/>
    </sheetView>
  </sheetViews>
  <sheetFormatPr baseColWidth="8" defaultRowHeight="15"/>
  <cols>
    <col width="13" customWidth="1" style="81" min="1" max="1"/>
    <col width="22" customWidth="1" style="81" min="2" max="2"/>
    <col width="70" customWidth="1" style="81" min="3" max="3"/>
    <col width="55" customWidth="1" style="81" min="4" max="4"/>
    <col width="18" customWidth="1" style="81" min="5" max="5"/>
  </cols>
  <sheetData>
    <row r="1" ht="30" customHeight="1" s="81">
      <c r="A1" s="82" t="inlineStr">
        <is>
          <t>Meeting Notes Log</t>
        </is>
      </c>
    </row>
    <row r="2" ht="28.15" customHeight="1" s="81">
      <c r="A2" s="80" t="inlineStr">
        <is>
          <t>One row per meeting. Link action items to Task IDs so they show up in the Task Tracker.</t>
        </is>
      </c>
    </row>
    <row r="4" ht="31.9" customHeight="1" s="81">
      <c r="A4" s="94" t="inlineStr">
        <is>
          <t>Date</t>
        </is>
      </c>
      <c r="B4" s="94" t="inlineStr">
        <is>
          <t>Meeting with</t>
        </is>
      </c>
      <c r="C4" s="94" t="inlineStr">
        <is>
          <t>Key points</t>
        </is>
      </c>
      <c r="D4" s="94" t="inlineStr">
        <is>
          <t>Action items</t>
        </is>
      </c>
      <c r="E4" s="94" t="inlineStr">
        <is>
          <t>Task IDs</t>
        </is>
      </c>
    </row>
    <row r="5" ht="214.9" customHeight="1" s="81">
      <c r="A5" s="34" t="n"/>
      <c r="B5" s="31" t="inlineStr">
        <is>
          <t>Dr. Gomez (professor)</t>
        </is>
      </c>
      <c r="C5" s="31" t="inlineStr">
        <is>
          <t>• Class project: half on METHYLENE BLUE REMOVAL, half on OXYGENATION.
• October 1 — under $80 per group (4 to 5 students per group).
• Ask Dr. Gomez for the FOP (purchasing account).
• Buy ~11 plastic containers with lids (1000 mL or 500 mL, cheap).
• Buy methylene blue dye.
• Need water with no dissolved oxygen → use a salt that consumes O₂: Na₂S₂O₄ (sodium dithionite).
• Find a way to measure DO in the solution — maybe something that changes color with O₂ level.
• Ask Luva to talk with Luis; ask Luis about the quiz.
• Students: design alternatives with pros &amp; cons; a simple sketch; background and introduction; give meaning to the problem.</t>
        </is>
      </c>
      <c r="D5" s="31" t="inlineStr">
        <is>
          <t>Get FOP → order Na₂S₂O₄, methylene blue, containers (T07, T09, T10, T12)
Choose DO measurement method (T14–T16)
Talk to Luva / Luis about the quiz (T23, T24)
Tell students what to include: alternatives, sketch, background (T29–T31)</t>
        </is>
      </c>
      <c r="E5" s="31" t="inlineStr">
        <is>
          <t>T07, T09–T16, T20, T23, T24, T29–T31</t>
        </is>
      </c>
    </row>
    <row r="6" ht="199.9" customHeight="1" s="81">
      <c r="A6" s="34" t="n"/>
      <c r="B6" s="31" t="inlineStr">
        <is>
          <t>Previous TA (hand-off document)</t>
        </is>
      </c>
      <c r="C6" s="31" t="inlineStr">
        <is>
          <t>• Training: lab safety courses + FERPA (needed for Canvas).
• Safety equipment with Mike Nichols: coats &amp; gloves available; safety glasses waiting for a rack.
• Keys / lab access from Mike Nichols.
• Chemicals: confirm sodium dithionite with lab personnel.
• DO probe is damaged → compare optical sensor spots, colorimetric methods, Winkler titration (time ~2 min, closed system, penetration, accuracy, ease, availability, cost).
• ~1 L plastic containers with lids, plan to buy 12. Example: https://a.co/d/0c6b1Ve2
• Disassemble old water-treatment prototypes.
• Quizzes: support, grade, communicate with instructors.</t>
        </is>
      </c>
      <c r="D6" s="31" t="inlineStr">
        <is>
          <t>All captured in the Task Tracker (Source = 'Previous TA list').</t>
        </is>
      </c>
      <c r="E6" s="31" t="inlineStr">
        <is>
          <t>T01–T06, T08, T11, T14, T15, T18, T19, T25–T28</t>
        </is>
      </c>
    </row>
    <row r="7">
      <c r="A7" s="78" t="n"/>
      <c r="B7" s="79" t="n"/>
      <c r="C7" s="79" t="n"/>
      <c r="D7" s="79" t="n"/>
      <c r="E7" s="79" t="n"/>
    </row>
    <row r="8">
      <c r="A8" s="78" t="n"/>
      <c r="B8" s="79" t="n"/>
      <c r="C8" s="79" t="n"/>
      <c r="D8" s="79" t="n"/>
      <c r="E8" s="79" t="n"/>
    </row>
    <row r="9">
      <c r="A9" s="78" t="n"/>
      <c r="B9" s="79" t="n"/>
      <c r="C9" s="79" t="n"/>
      <c r="D9" s="79" t="n"/>
      <c r="E9" s="79" t="n"/>
    </row>
    <row r="10">
      <c r="A10" s="78" t="n"/>
      <c r="B10" s="79" t="n"/>
      <c r="C10" s="79" t="n"/>
      <c r="D10" s="79" t="n"/>
      <c r="E10" s="79" t="n"/>
    </row>
    <row r="11">
      <c r="A11" s="78" t="n"/>
      <c r="B11" s="79" t="n"/>
      <c r="C11" s="79" t="n"/>
      <c r="D11" s="79" t="n"/>
      <c r="E11" s="79" t="n"/>
    </row>
    <row r="12">
      <c r="A12" s="78" t="n"/>
      <c r="B12" s="79" t="n"/>
      <c r="C12" s="79" t="n"/>
      <c r="D12" s="79" t="n"/>
      <c r="E12" s="79" t="n"/>
    </row>
    <row r="13">
      <c r="A13" s="78" t="n"/>
      <c r="B13" s="79" t="n"/>
      <c r="C13" s="79" t="n"/>
      <c r="D13" s="79" t="n"/>
      <c r="E13" s="79" t="n"/>
    </row>
    <row r="14">
      <c r="A14" s="78" t="n"/>
      <c r="B14" s="79" t="n"/>
      <c r="C14" s="79" t="n"/>
      <c r="D14" s="79" t="n"/>
      <c r="E14" s="79" t="n"/>
    </row>
  </sheetData>
  <mergeCells count="2">
    <mergeCell ref="A2:E2"/>
    <mergeCell ref="A1:E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2026-09-23T03:03:49Z</dcterms:created>
  <dcterms:modified xsi:type="dcterms:W3CDTF">2026-09-28T17:31:38Z</dcterms:modified>
  <cp:lastModifiedBy>Ferreira Garcia, Daniela</cp:lastModifiedBy>
</cp:coreProperties>
</file>