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CC0000"/>
    </font>
    <font>
      <name val="Arial"/>
    </font>
    <font>
      <name val="Arial"/>
      <color rgb="00595959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color rgb="0080808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pivotButton="0" quotePrefix="0" xfId="0"/>
    <xf numFmtId="0" fontId="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2" fontId="6" fillId="2" borderId="1" pivotButton="0" quotePrefix="0" xfId="0"/>
    <xf numFmtId="2" fontId="8" fillId="0" borderId="1" applyAlignment="1" pivotButton="0" quotePrefix="0" xfId="0">
      <alignment horizontal="center"/>
    </xf>
    <xf numFmtId="164" fontId="6" fillId="2" borderId="1" pivotButton="0" quotePrefix="0" xfId="0"/>
    <xf numFmtId="164" fontId="8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5" fontId="10" fillId="4" borderId="1" pivotButton="0" quotePrefix="0" xfId="0"/>
    <xf numFmtId="0" fontId="10" fillId="4" borderId="1" pivotButton="0" quotePrefix="0" xfId="0"/>
    <xf numFmtId="3" fontId="10" fillId="4" borderId="1" pivotButton="0" quotePrefix="0" xfId="0"/>
    <xf numFmtId="164" fontId="10" fillId="4" borderId="1" pivotButton="0" quotePrefix="0" xfId="0"/>
    <xf numFmtId="0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Methylene blue calibration curve</a:t>
            </a:r>
          </a:p>
        </rich>
      </tx>
    </title>
    <plotArea>
      <scatterChart>
        <ser>
          <idx val="0"/>
          <order val="0"/>
          <tx>
            <strRef>
              <f>'Calibration'!H12</f>
            </strRef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'Calibration'!$B$13:$B$19</f>
            </numRef>
          </xVal>
          <yVal>
            <numRef>
              <f>'Calibration'!$H$13:$H$19</f>
            </numRef>
          </yVal>
        </ser>
        <ser>
          <idx val="1"/>
          <order val="1"/>
          <tx>
            <strRef>
              <f>'Calibration'!J12</f>
            </strRef>
          </tx>
          <spPr>
            <a:ln>
              <a:solidFill>
                <a:srgbClr val="BFBFB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'Calibration'!$B$13:$B$19</f>
            </numRef>
          </xVal>
          <yVal>
            <numRef>
              <f>'Calibration'!$J$13:$J$19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Concentration (mg/L)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Absorbance (AU)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3" customWidth="1" min="10" max="10"/>
  </cols>
  <sheetData>
    <row r="1">
      <c r="A1" s="1" t="inlineStr">
        <is>
          <t>Methylene Blue — UV-Vis Calibration Curve</t>
        </is>
      </c>
    </row>
    <row r="2">
      <c r="A2" s="2" t="inlineStr">
        <is>
          <t>Yellow cells with blue text are inputs. Type absorbances in columns E–G; mean, fit and sample results update automatically.</t>
        </is>
      </c>
    </row>
    <row r="4">
      <c r="A4" s="3" t="inlineStr">
        <is>
          <t>Settings</t>
        </is>
      </c>
    </row>
    <row r="5">
      <c r="A5" s="4" t="inlineStr">
        <is>
          <t>Working (parent) solution concentration</t>
        </is>
      </c>
      <c r="C5" s="5" t="n">
        <v>10</v>
      </c>
      <c r="D5" s="6" t="inlineStr">
        <is>
          <t>mg/L</t>
        </is>
      </c>
      <c r="E5" s="2" t="inlineStr">
        <is>
          <t>Part C working solution (10 mg/L).</t>
        </is>
      </c>
    </row>
    <row r="6">
      <c r="A6" s="4" t="inlineStr">
        <is>
          <t>Volumetric flask volume for each standard</t>
        </is>
      </c>
      <c r="C6" s="5" t="n">
        <v>50</v>
      </c>
      <c r="D6" s="6" t="inlineStr">
        <is>
          <t>mL</t>
        </is>
      </c>
      <c r="E6" s="2" t="inlineStr"/>
    </row>
    <row r="7">
      <c r="A7" s="4" t="inlineStr">
        <is>
          <t>Measurement wavelength (λmax from scan of top standard)</t>
        </is>
      </c>
      <c r="C7" s="5" t="n">
        <v>664</v>
      </c>
      <c r="D7" s="6" t="inlineStr">
        <is>
          <t>nm</t>
        </is>
      </c>
      <c r="E7" s="2" t="inlineStr">
        <is>
          <t>Scan 400–800 nm on the 5 mg/L standard; enter the peak. Literature λmax ≈ 664 nm.</t>
        </is>
      </c>
    </row>
    <row r="8">
      <c r="A8" s="4" t="inlineStr">
        <is>
          <t>Cuvette path length</t>
        </is>
      </c>
      <c r="C8" s="5" t="n">
        <v>1</v>
      </c>
      <c r="D8" s="6" t="inlineStr">
        <is>
          <t>cm</t>
        </is>
      </c>
      <c r="E8" s="2" t="inlineStr">
        <is>
          <t>Standard 12.5 mm square cuvette = 1 cm path.</t>
        </is>
      </c>
    </row>
    <row r="9">
      <c r="A9" s="4" t="inlineStr">
        <is>
          <t>Assumed slope for the "expected" column (illustrative only)</t>
        </is>
      </c>
      <c r="C9" s="5" t="n">
        <v>0.2</v>
      </c>
      <c r="D9" s="6" t="inlineStr">
        <is>
          <t>AU per mg/L</t>
        </is>
      </c>
      <c r="E9" s="2" t="inlineStr">
        <is>
          <t>Rough literature-based guess for 1 cm; your measured slope replaces it.</t>
        </is>
      </c>
    </row>
    <row r="11">
      <c r="A11" s="3" t="inlineStr">
        <is>
          <t>Calibration standards</t>
        </is>
      </c>
    </row>
    <row r="12" ht="44" customHeight="1">
      <c r="A12" s="7" t="inlineStr">
        <is>
          <t>Std</t>
        </is>
      </c>
      <c r="B12" s="7" t="inlineStr">
        <is>
          <t>Concentration (mg/L)</t>
        </is>
      </c>
      <c r="C12" s="7" t="inlineStr">
        <is>
          <t>Working solution to pipette (mL)</t>
        </is>
      </c>
      <c r="D12" s="7" t="inlineStr">
        <is>
          <t>Fill to (mL)</t>
        </is>
      </c>
      <c r="E12" s="7" t="inlineStr">
        <is>
          <t>A — trial 1</t>
        </is>
      </c>
      <c r="F12" s="7" t="inlineStr">
        <is>
          <t>A — trial 2</t>
        </is>
      </c>
      <c r="G12" s="7" t="inlineStr">
        <is>
          <t>A — trial 3</t>
        </is>
      </c>
      <c r="H12" s="7" t="inlineStr">
        <is>
          <t>Mean A</t>
        </is>
      </c>
      <c r="I12" s="7" t="inlineStr">
        <is>
          <t>SD</t>
        </is>
      </c>
      <c r="J12" s="7" t="inlineStr">
        <is>
          <t>Expected A (illustrative)</t>
        </is>
      </c>
    </row>
    <row r="13">
      <c r="A13" s="8" t="inlineStr">
        <is>
          <t>Blank</t>
        </is>
      </c>
      <c r="B13" s="9" t="n">
        <v>0</v>
      </c>
      <c r="C13" s="10">
        <f>B13*$C$6/$C$5</f>
        <v/>
      </c>
      <c r="D13" s="8">
        <f>$C$6</f>
        <v/>
      </c>
      <c r="E13" s="11" t="n"/>
      <c r="F13" s="11" t="n"/>
      <c r="G13" s="11" t="n"/>
      <c r="H13" s="12">
        <f>IF(COUNT(E13:G13)=0,"",AVERAGE(E13:G13))</f>
        <v/>
      </c>
      <c r="I13" s="12">
        <f>IF(COUNT(E13:G13)&lt;2,"",STDEV(E13:G13))</f>
        <v/>
      </c>
      <c r="J13" s="13">
        <f>$C$9*B13</f>
        <v/>
      </c>
    </row>
    <row r="14">
      <c r="A14" s="8" t="inlineStr">
        <is>
          <t>S1</t>
        </is>
      </c>
      <c r="B14" s="9" t="n">
        <v>0.5</v>
      </c>
      <c r="C14" s="10">
        <f>B14*$C$6/$C$5</f>
        <v/>
      </c>
      <c r="D14" s="8">
        <f>$C$6</f>
        <v/>
      </c>
      <c r="E14" s="11" t="n"/>
      <c r="F14" s="11" t="n"/>
      <c r="G14" s="11" t="n"/>
      <c r="H14" s="12">
        <f>IF(COUNT(E14:G14)=0,"",AVERAGE(E14:G14))</f>
        <v/>
      </c>
      <c r="I14" s="12">
        <f>IF(COUNT(E14:G14)&lt;2,"",STDEV(E14:G14))</f>
        <v/>
      </c>
      <c r="J14" s="13">
        <f>$C$9*B14</f>
        <v/>
      </c>
    </row>
    <row r="15">
      <c r="A15" s="8" t="inlineStr">
        <is>
          <t>S2</t>
        </is>
      </c>
      <c r="B15" s="9" t="n">
        <v>1</v>
      </c>
      <c r="C15" s="10">
        <f>B15*$C$6/$C$5</f>
        <v/>
      </c>
      <c r="D15" s="8">
        <f>$C$6</f>
        <v/>
      </c>
      <c r="E15" s="11" t="n"/>
      <c r="F15" s="11" t="n"/>
      <c r="G15" s="11" t="n"/>
      <c r="H15" s="12">
        <f>IF(COUNT(E15:G15)=0,"",AVERAGE(E15:G15))</f>
        <v/>
      </c>
      <c r="I15" s="12">
        <f>IF(COUNT(E15:G15)&lt;2,"",STDEV(E15:G15))</f>
        <v/>
      </c>
      <c r="J15" s="13">
        <f>$C$9*B15</f>
        <v/>
      </c>
    </row>
    <row r="16">
      <c r="A16" s="8" t="inlineStr">
        <is>
          <t>S3</t>
        </is>
      </c>
      <c r="B16" s="9" t="n">
        <v>2</v>
      </c>
      <c r="C16" s="10">
        <f>B16*$C$6/$C$5</f>
        <v/>
      </c>
      <c r="D16" s="8">
        <f>$C$6</f>
        <v/>
      </c>
      <c r="E16" s="11" t="n"/>
      <c r="F16" s="11" t="n"/>
      <c r="G16" s="11" t="n"/>
      <c r="H16" s="12">
        <f>IF(COUNT(E16:G16)=0,"",AVERAGE(E16:G16))</f>
        <v/>
      </c>
      <c r="I16" s="12">
        <f>IF(COUNT(E16:G16)&lt;2,"",STDEV(E16:G16))</f>
        <v/>
      </c>
      <c r="J16" s="13">
        <f>$C$9*B16</f>
        <v/>
      </c>
    </row>
    <row r="17">
      <c r="A17" s="8" t="inlineStr">
        <is>
          <t>S4</t>
        </is>
      </c>
      <c r="B17" s="9" t="n">
        <v>3</v>
      </c>
      <c r="C17" s="10">
        <f>B17*$C$6/$C$5</f>
        <v/>
      </c>
      <c r="D17" s="8">
        <f>$C$6</f>
        <v/>
      </c>
      <c r="E17" s="11" t="n"/>
      <c r="F17" s="11" t="n"/>
      <c r="G17" s="11" t="n"/>
      <c r="H17" s="12">
        <f>IF(COUNT(E17:G17)=0,"",AVERAGE(E17:G17))</f>
        <v/>
      </c>
      <c r="I17" s="12">
        <f>IF(COUNT(E17:G17)&lt;2,"",STDEV(E17:G17))</f>
        <v/>
      </c>
      <c r="J17" s="13">
        <f>$C$9*B17</f>
        <v/>
      </c>
    </row>
    <row r="18">
      <c r="A18" s="8" t="inlineStr">
        <is>
          <t>S5</t>
        </is>
      </c>
      <c r="B18" s="9" t="n">
        <v>4</v>
      </c>
      <c r="C18" s="10">
        <f>B18*$C$6/$C$5</f>
        <v/>
      </c>
      <c r="D18" s="8">
        <f>$C$6</f>
        <v/>
      </c>
      <c r="E18" s="11" t="n"/>
      <c r="F18" s="11" t="n"/>
      <c r="G18" s="11" t="n"/>
      <c r="H18" s="12">
        <f>IF(COUNT(E18:G18)=0,"",AVERAGE(E18:G18))</f>
        <v/>
      </c>
      <c r="I18" s="12">
        <f>IF(COUNT(E18:G18)&lt;2,"",STDEV(E18:G18))</f>
        <v/>
      </c>
      <c r="J18" s="13">
        <f>$C$9*B18</f>
        <v/>
      </c>
    </row>
    <row r="19">
      <c r="A19" s="8" t="inlineStr">
        <is>
          <t>S6</t>
        </is>
      </c>
      <c r="B19" s="9" t="n">
        <v>5</v>
      </c>
      <c r="C19" s="10">
        <f>B19*$C$6/$C$5</f>
        <v/>
      </c>
      <c r="D19" s="8">
        <f>$C$6</f>
        <v/>
      </c>
      <c r="E19" s="11" t="n"/>
      <c r="F19" s="11" t="n"/>
      <c r="G19" s="11" t="n"/>
      <c r="H19" s="12">
        <f>IF(COUNT(E19:G19)=0,"",AVERAGE(E19:G19))</f>
        <v/>
      </c>
      <c r="I19" s="12">
        <f>IF(COUNT(E19:G19)&lt;2,"",STDEV(E19:G19))</f>
        <v/>
      </c>
      <c r="J19" s="13">
        <f>$C$9*B19</f>
        <v/>
      </c>
    </row>
    <row r="21">
      <c r="A21" s="3" t="inlineStr">
        <is>
          <t>Linear fit of your data (mean A vs concentration)</t>
        </is>
      </c>
    </row>
    <row r="22">
      <c r="A22" s="4" t="inlineStr">
        <is>
          <t>Slope (AU per mg/L)</t>
        </is>
      </c>
      <c r="C22" s="14">
        <f>IFERROR(SLOPE(H13:H19,B13:B19),"")</f>
        <v/>
      </c>
    </row>
    <row r="23">
      <c r="A23" s="4" t="inlineStr">
        <is>
          <t>Intercept (AU)</t>
        </is>
      </c>
      <c r="C23" s="14">
        <f>IFERROR(INTERCEPT(H13:H19,B13:B19),"")</f>
        <v/>
      </c>
    </row>
    <row r="24">
      <c r="A24" s="4" t="inlineStr">
        <is>
          <t>R²</t>
        </is>
      </c>
      <c r="C24" s="14">
        <f>IFERROR(RSQ(H13:H19,B13:B19),"")</f>
        <v/>
      </c>
      <c r="E24" s="2" t="inlineStr">
        <is>
          <t>Keep standards ≤ 5 mg/L: above that methylene blue dimerizes and the line curves.</t>
        </is>
      </c>
    </row>
    <row r="25">
      <c r="A25" s="4" t="inlineStr">
        <is>
          <t>Fit quality</t>
        </is>
      </c>
      <c r="C25" s="15">
        <f>IF(C24="","Enter absorbances",IF(C24&gt;=0.995,"OK (R² ≥ 0.995)","Check standards — R² below 0.995"))</f>
        <v/>
      </c>
    </row>
    <row r="26">
      <c r="A26" s="4" t="inlineStr">
        <is>
          <t>Molar absorptivity ε (L·mol⁻¹·cm⁻¹)</t>
        </is>
      </c>
      <c r="C26" s="16">
        <f>IFERROR(C22*319.85*1000/C8,"")</f>
        <v/>
      </c>
      <c r="E26" s="2" t="inlineStr">
        <is>
          <t>Literature ε ≈ 7–9.5 × 10⁴ at 664 nm; a lower value is normal for the hydrate (dye content &lt; 100%).</t>
        </is>
      </c>
    </row>
    <row r="27">
      <c r="A27" s="4" t="inlineStr">
        <is>
          <t>Highest absorbance on the curve (top standard)</t>
        </is>
      </c>
      <c r="C27" s="17">
        <f>IF(COUNT(H13:H19)=0,"",MAX(H13:H19))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1" customWidth="1" min="4" max="4"/>
    <col width="15" customWidth="1" min="5" max="5"/>
    <col width="11" customWidth="1" min="6" max="6"/>
    <col width="34" customWidth="1" min="7" max="7"/>
  </cols>
  <sheetData>
    <row r="1">
      <c r="A1" s="1" t="inlineStr">
        <is>
          <t>Treated water — residual dye and % removal</t>
        </is>
      </c>
    </row>
    <row r="2">
      <c r="A2" s="2" t="inlineStr">
        <is>
          <t>Filter (0.45 µm) or centrifuge each sample before measuring. If A is above the top standard, dilute and enter the dilution factor.</t>
        </is>
      </c>
    </row>
    <row r="4">
      <c r="A4" s="4" t="inlineStr">
        <is>
          <t>Initial dye concentration C₀ (mg/L)</t>
        </is>
      </c>
      <c r="C4" s="5" t="n">
        <v>10</v>
      </c>
      <c r="D4" s="2" t="inlineStr">
        <is>
          <t>Use 10 mg/L, or measure the untreated dye water (diluted) and enter its value.</t>
        </is>
      </c>
    </row>
    <row r="6" ht="32" customHeight="1">
      <c r="A6" s="7" t="inlineStr">
        <is>
          <t>Group</t>
        </is>
      </c>
      <c r="B6" s="7" t="inlineStr">
        <is>
          <t>Sample / design</t>
        </is>
      </c>
      <c r="C6" s="7" t="inlineStr">
        <is>
          <t>Absorbance (A)</t>
        </is>
      </c>
      <c r="D6" s="7" t="inlineStr">
        <is>
          <t>Dilution factor</t>
        </is>
      </c>
      <c r="E6" s="7" t="inlineStr">
        <is>
          <t>Residual C (mg/L)</t>
        </is>
      </c>
      <c r="F6" s="7" t="inlineStr">
        <is>
          <t>% Removal</t>
        </is>
      </c>
      <c r="G6" s="7" t="inlineStr">
        <is>
          <t>Check</t>
        </is>
      </c>
    </row>
    <row r="7">
      <c r="A7" s="18" t="inlineStr">
        <is>
          <t>Group 1</t>
        </is>
      </c>
      <c r="B7" s="5" t="n"/>
      <c r="C7" s="11" t="n"/>
      <c r="D7" s="5" t="n">
        <v>1</v>
      </c>
      <c r="E7" s="19">
        <f>IF(OR(C7="",Calibration!$C$22=""),"",MAX(0,(C7-Calibration!$C$23)/Calibration!$C$22*D7))</f>
        <v/>
      </c>
      <c r="F7" s="20">
        <f>IF(E7="","",(($C$4-E7)/$C$4))</f>
        <v/>
      </c>
      <c r="G7" s="18">
        <f>IF(C7="","",IF(AND(Calibration!$C$27&lt;&gt;"",C7&gt;Calibration!$C$27),"Above curve — dilute and re-measure","OK"))</f>
        <v/>
      </c>
    </row>
    <row r="8">
      <c r="A8" s="18" t="inlineStr">
        <is>
          <t>Group 1</t>
        </is>
      </c>
      <c r="B8" s="5" t="n"/>
      <c r="C8" s="11" t="n"/>
      <c r="D8" s="5" t="n">
        <v>1</v>
      </c>
      <c r="E8" s="19">
        <f>IF(OR(C8="",Calibration!$C$22=""),"",MAX(0,(C8-Calibration!$C$23)/Calibration!$C$22*D8))</f>
        <v/>
      </c>
      <c r="F8" s="20">
        <f>IF(E8="","",(($C$4-E8)/$C$4))</f>
        <v/>
      </c>
      <c r="G8" s="18">
        <f>IF(C8="","",IF(AND(Calibration!$C$27&lt;&gt;"",C8&gt;Calibration!$C$27),"Above curve — dilute and re-measure","OK"))</f>
        <v/>
      </c>
    </row>
    <row r="9">
      <c r="A9" s="18" t="inlineStr">
        <is>
          <t>Group 2</t>
        </is>
      </c>
      <c r="B9" s="5" t="n"/>
      <c r="C9" s="11" t="n"/>
      <c r="D9" s="5" t="n">
        <v>1</v>
      </c>
      <c r="E9" s="19">
        <f>IF(OR(C9="",Calibration!$C$22=""),"",MAX(0,(C9-Calibration!$C$23)/Calibration!$C$22*D9))</f>
        <v/>
      </c>
      <c r="F9" s="20">
        <f>IF(E9="","",(($C$4-E9)/$C$4))</f>
        <v/>
      </c>
      <c r="G9" s="18">
        <f>IF(C9="","",IF(AND(Calibration!$C$27&lt;&gt;"",C9&gt;Calibration!$C$27),"Above curve — dilute and re-measure","OK"))</f>
        <v/>
      </c>
    </row>
    <row r="10">
      <c r="A10" s="18" t="inlineStr">
        <is>
          <t>Group 2</t>
        </is>
      </c>
      <c r="B10" s="5" t="n"/>
      <c r="C10" s="11" t="n"/>
      <c r="D10" s="5" t="n">
        <v>1</v>
      </c>
      <c r="E10" s="19">
        <f>IF(OR(C10="",Calibration!$C$22=""),"",MAX(0,(C10-Calibration!$C$23)/Calibration!$C$22*D10))</f>
        <v/>
      </c>
      <c r="F10" s="20">
        <f>IF(E10="","",(($C$4-E10)/$C$4))</f>
        <v/>
      </c>
      <c r="G10" s="18">
        <f>IF(C10="","",IF(AND(Calibration!$C$27&lt;&gt;"",C10&gt;Calibration!$C$27),"Above curve — dilute and re-measure","OK"))</f>
        <v/>
      </c>
    </row>
    <row r="11">
      <c r="A11" s="18" t="inlineStr">
        <is>
          <t>Group 3</t>
        </is>
      </c>
      <c r="B11" s="5" t="n"/>
      <c r="C11" s="11" t="n"/>
      <c r="D11" s="5" t="n">
        <v>1</v>
      </c>
      <c r="E11" s="19">
        <f>IF(OR(C11="",Calibration!$C$22=""),"",MAX(0,(C11-Calibration!$C$23)/Calibration!$C$22*D11))</f>
        <v/>
      </c>
      <c r="F11" s="20">
        <f>IF(E11="","",(($C$4-E11)/$C$4))</f>
        <v/>
      </c>
      <c r="G11" s="18">
        <f>IF(C11="","",IF(AND(Calibration!$C$27&lt;&gt;"",C11&gt;Calibration!$C$27),"Above curve — dilute and re-measure","OK"))</f>
        <v/>
      </c>
    </row>
    <row r="12">
      <c r="A12" s="18" t="inlineStr">
        <is>
          <t>Group 3</t>
        </is>
      </c>
      <c r="B12" s="5" t="n"/>
      <c r="C12" s="11" t="n"/>
      <c r="D12" s="5" t="n">
        <v>1</v>
      </c>
      <c r="E12" s="19">
        <f>IF(OR(C12="",Calibration!$C$22=""),"",MAX(0,(C12-Calibration!$C$23)/Calibration!$C$22*D12))</f>
        <v/>
      </c>
      <c r="F12" s="20">
        <f>IF(E12="","",(($C$4-E12)/$C$4))</f>
        <v/>
      </c>
      <c r="G12" s="18">
        <f>IF(C12="","",IF(AND(Calibration!$C$27&lt;&gt;"",C12&gt;Calibration!$C$27),"Above curve — dilute and re-measure","OK"))</f>
        <v/>
      </c>
    </row>
    <row r="13">
      <c r="A13" s="18" t="inlineStr">
        <is>
          <t>Group 4</t>
        </is>
      </c>
      <c r="B13" s="5" t="n"/>
      <c r="C13" s="11" t="n"/>
      <c r="D13" s="5" t="n">
        <v>1</v>
      </c>
      <c r="E13" s="19">
        <f>IF(OR(C13="",Calibration!$C$22=""),"",MAX(0,(C13-Calibration!$C$23)/Calibration!$C$22*D13))</f>
        <v/>
      </c>
      <c r="F13" s="20">
        <f>IF(E13="","",(($C$4-E13)/$C$4))</f>
        <v/>
      </c>
      <c r="G13" s="18">
        <f>IF(C13="","",IF(AND(Calibration!$C$27&lt;&gt;"",C13&gt;Calibration!$C$27),"Above curve — dilute and re-measure","OK"))</f>
        <v/>
      </c>
    </row>
    <row r="14">
      <c r="A14" s="18" t="inlineStr">
        <is>
          <t>Group 4</t>
        </is>
      </c>
      <c r="B14" s="5" t="n"/>
      <c r="C14" s="11" t="n"/>
      <c r="D14" s="5" t="n">
        <v>1</v>
      </c>
      <c r="E14" s="19">
        <f>IF(OR(C14="",Calibration!$C$22=""),"",MAX(0,(C14-Calibration!$C$23)/Calibration!$C$22*D14))</f>
        <v/>
      </c>
      <c r="F14" s="20">
        <f>IF(E14="","",(($C$4-E14)/$C$4))</f>
        <v/>
      </c>
      <c r="G14" s="18">
        <f>IF(C14="","",IF(AND(Calibration!$C$27&lt;&gt;"",C14&gt;Calibration!$C$27),"Above curve — dilute and re-measure","OK"))</f>
        <v/>
      </c>
    </row>
    <row r="15">
      <c r="A15" s="18" t="inlineStr">
        <is>
          <t>Group 5</t>
        </is>
      </c>
      <c r="B15" s="5" t="n"/>
      <c r="C15" s="11" t="n"/>
      <c r="D15" s="5" t="n">
        <v>1</v>
      </c>
      <c r="E15" s="19">
        <f>IF(OR(C15="",Calibration!$C$22=""),"",MAX(0,(C15-Calibration!$C$23)/Calibration!$C$22*D15))</f>
        <v/>
      </c>
      <c r="F15" s="20">
        <f>IF(E15="","",(($C$4-E15)/$C$4))</f>
        <v/>
      </c>
      <c r="G15" s="18">
        <f>IF(C15="","",IF(AND(Calibration!$C$27&lt;&gt;"",C15&gt;Calibration!$C$27),"Above curve — dilute and re-measure","OK"))</f>
        <v/>
      </c>
    </row>
    <row r="16">
      <c r="A16" s="18" t="inlineStr">
        <is>
          <t>Group 5</t>
        </is>
      </c>
      <c r="B16" s="5" t="n"/>
      <c r="C16" s="11" t="n"/>
      <c r="D16" s="5" t="n">
        <v>1</v>
      </c>
      <c r="E16" s="19">
        <f>IF(OR(C16="",Calibration!$C$22=""),"",MAX(0,(C16-Calibration!$C$23)/Calibration!$C$22*D16))</f>
        <v/>
      </c>
      <c r="F16" s="20">
        <f>IF(E16="","",(($C$4-E16)/$C$4))</f>
        <v/>
      </c>
      <c r="G16" s="18">
        <f>IF(C16="","",IF(AND(Calibration!$C$27&lt;&gt;"",C16&gt;Calibration!$C$27),"Above curve — dilute and re-measure","OK"))</f>
        <v/>
      </c>
    </row>
    <row r="17">
      <c r="A17" s="18" t="inlineStr"/>
      <c r="B17" s="5" t="n"/>
      <c r="C17" s="11" t="n"/>
      <c r="D17" s="5" t="n">
        <v>1</v>
      </c>
      <c r="E17" s="19">
        <f>IF(OR(C17="",Calibration!$C$22=""),"",MAX(0,(C17-Calibration!$C$23)/Calibration!$C$22*D17))</f>
        <v/>
      </c>
      <c r="F17" s="20">
        <f>IF(E17="","",(($C$4-E17)/$C$4))</f>
        <v/>
      </c>
      <c r="G17" s="18">
        <f>IF(C17="","",IF(AND(Calibration!$C$27&lt;&gt;"",C17&gt;Calibration!$C$27),"Above curve — dilute and re-measure","OK"))</f>
        <v/>
      </c>
    </row>
    <row r="18">
      <c r="A18" s="18" t="inlineStr"/>
      <c r="B18" s="5" t="n"/>
      <c r="C18" s="11" t="n"/>
      <c r="D18" s="5" t="n">
        <v>1</v>
      </c>
      <c r="E18" s="19">
        <f>IF(OR(C18="",Calibration!$C$22=""),"",MAX(0,(C18-Calibration!$C$23)/Calibration!$C$22*D18))</f>
        <v/>
      </c>
      <c r="F18" s="20">
        <f>IF(E18="","",(($C$4-E18)/$C$4))</f>
        <v/>
      </c>
      <c r="G18" s="18">
        <f>IF(C18="","",IF(AND(Calibration!$C$27&lt;&gt;"",C18&gt;Calibration!$C$27),"Above curve — dilute and re-measure","OK"))</f>
        <v/>
      </c>
    </row>
  </sheetData>
  <dataValidations count="1">
    <dataValidation sqref="D7:D18" showDropDown="0" showInputMessage="0" showErrorMessage="1" allowBlank="0" error="Dilution factor must be 1 or more (e.g., 1 mL sample + 4 mL water = 5)." type="decimal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2026-10-01T03:54:27Z</dcterms:created>
  <dcterms:modified xsi:type="dcterms:W3CDTF">2026-10-01T03:54:27Z</dcterms:modified>
</cp:coreProperties>
</file>