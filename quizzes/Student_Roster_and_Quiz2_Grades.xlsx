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oster" sheetId="2" state="visible" r:id="rId4"/>
    <sheet name="Groups" sheetId="3" state="visible" r:id="rId5"/>
    <sheet name="Answer Key" sheetId="4" state="visible" r:id="rId6"/>
    <sheet name="Quiz 2 Grades" sheetId="5" state="visible" r:id="rId7"/>
    <sheet name="Performance per Problem" sheetId="6" state="visible" r:id="rId8"/>
    <sheet name="Class Summary" sheetId="7" state="visible" r:id="rId9"/>
    <sheet name="Statistical Analysis" sheetId="8" state="visible" r:id="rId10"/>
  </sheets>
  <definedNames>
    <definedName function="false" hidden="false" localSheetId="3" name="_xlnm.Print_Area" vbProcedure="false">'Answer Key'!$A$1:$G$62</definedName>
    <definedName function="false" hidden="false" localSheetId="4" name="_xlnm.Print_Area" vbProcedure="false">'Quiz 2 Grades'!$A$1:$Q$65</definedName>
    <definedName function="false" hidden="false" localSheetId="4" name="_xlnm.Print_Titles" vbProcedure="false">'Quiz 2 Grades'!$4:$6</definedName>
    <definedName function="false" hidden="true" localSheetId="4" name="_xlnm._FilterDatabase" vbProcedure="false">'Quiz 2 Grades'!$A$6:$Q$58</definedName>
    <definedName function="false" hidden="false" localSheetId="1" name="_xlnm.Print_Titles" vbProcedure="false">Roster!$4:$4</definedName>
    <definedName function="false" hidden="true" localSheetId="1" name="_xlnm._FilterDatabase" vbProcedure="false">Roster!$A$4:$H$56</definedName>
    <definedName function="false" hidden="false" localSheetId="7" name="_xlnm.Print_Area" vbProcedure="false">'Statistical Analysis'!$A$1:$N$121</definedName>
    <definedName function="false" hidden="true" localSheetId="7" name="_xlnm._FilterDatabase" vbProcedure="false">'Statistical Analysis'!$A$69:$H$121</definedName>
    <definedName function="false" hidden="false" name="Alpha" vbProcedure="false">'Statistical Analysis'!$B$34</definedName>
    <definedName function="false" hidden="false" name="KurtScore" vbProcedure="false">'Statistical Analysis'!$B$31</definedName>
    <definedName function="false" hidden="false" name="MaxScore" vbProcedure="false">'Quiz 2 Grades'!$M$5</definedName>
    <definedName function="false" hidden="false" name="MeanScore" vbProcedure="false">'Statistical Analysis'!$B$16</definedName>
    <definedName function="false" hidden="false" name="MedianScore" vbProcedure="false">'Statistical Analysis'!$B$17</definedName>
    <definedName function="false" hidden="false" name="nGraded" vbProcedure="false">'Statistical Analysis'!$B$15</definedName>
    <definedName function="false" hidden="false" name="SDScore" vbProcedure="false">'Statistical Analysis'!$B$18</definedName>
    <definedName function="false" hidden="false" name="SkewScore" vbProcedure="false">'Statistical Analysis'!$B$30</definedName>
    <definedName function="false" hidden="false" name="Totals" vbProcedure="false">'Quiz 2 Grades'!$M$7:$M$58</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A26" authorId="0">
      <text>
        <r>
          <rPr>
            <sz val="10"/>
            <rFont val="Arial"/>
            <family val="2"/>
          </rPr>
          <t xml:space="preserve">Meeting notes: groups of 4 to 5 students. Edit these two cells if the professor changes group size.</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C5" authorId="0">
      <text>
        <r>
          <rPr>
            <sz val="10"/>
            <rFont val="Arial"/>
            <family val="2"/>
          </rPr>
          <t xml:space="preserve">Max points from the Quiz 2 answer key: 1.1 = 15, 1.2 a = 6, 1.2 b = 1, 1.2 c = 3, 1.3 = 10 (Problem 1 = 35); 2.1 = 2.2 = 2.3 = 5 (Problem 2 = 15). Total 50. See the Answer Key tab.</t>
        </r>
      </text>
    </comment>
    <comment ref="S2" authorId="0">
      <text>
        <r>
          <rPr>
            <sz val="10"/>
            <rFont val="Arial"/>
            <family val="2"/>
          </rPr>
          <t xml:space="preserve">Thresholds kept from Quiz 1 (0–25 red, 26–39 yellow, 40–50 green). Edit T3:T4.</t>
        </r>
      </text>
    </comment>
  </commentList>
</comments>
</file>

<file path=xl/sharedStrings.xml><?xml version="1.0" encoding="utf-8"?>
<sst xmlns="http://schemas.openxmlformats.org/spreadsheetml/2006/main" count="528" uniqueCount="471">
  <si>
    <t xml:space="preserve">Student Roster &amp; Quiz 2 Grades</t>
  </si>
  <si>
    <t xml:space="preserve">Engineering Design · Fall 2026 · Teaching Assistant gradebook for Quiz 2 — same roster, tabs and layout as the Quiz 1 workbook; questions, points and answers come from the Quiz 2 answer key (quizz 2 v2 – Sol VF).</t>
  </si>
  <si>
    <t xml:space="preserve">Tabs in this workbook</t>
  </si>
  <si>
    <t xml:space="preserve">Roster</t>
  </si>
  <si>
    <t xml:space="preserve">Master list of the 52 students (last / first name). Type each student's Group # (column E). Quiz 2 score is pulled in automatically.</t>
  </si>
  <si>
    <t xml:space="preserve">Groups</t>
  </si>
  <si>
    <t xml:space="preserve">One row per project group (up to 13): choose the project track, see group size, size check and group Quiz 2 average; class split totals below.</t>
  </si>
  <si>
    <t xml:space="preserve">Answer Key</t>
  </si>
  <si>
    <t xml:space="preserve">Correct answer and points for every part of Quiz 2 (copied from the key), grading notes, the objective-tree weights and a check of the Pugh-chart totals.</t>
  </si>
  <si>
    <t xml:space="preserve">Quiz 2 Grades</t>
  </si>
  <si>
    <t xml:space="preserve">Score per part (1.1, 1.2 a, 1.2 b, 1.2 c, 1.3, 2.1, 2.2, 2.3). Problem subtotals, total (/50), %, performance band, rank and status are formulas. Class averages at the bottom.</t>
  </si>
  <si>
    <t xml:space="preserve">Performance per Problem</t>
  </si>
  <si>
    <t xml:space="preserve">Statistics for every sub-question (average, % of max, median, std dev, full marks, zeros) + charts. The Flag column tells you what to review in class.</t>
  </si>
  <si>
    <t xml:space="preserve">Class Summary</t>
  </si>
  <si>
    <t xml:space="preserve">Class-level numbers: graded / missing, average, median, high / low, performance bands and score distribution chart.</t>
  </si>
  <si>
    <t xml:space="preserve">Statistical Analysis</t>
  </si>
  <si>
    <t xml:space="preserve">Gaussian (normal) analysis: descriptive statistics with a confidence interval, five normality tests (Shapiro–Wilk, Anderson–Darling, Jarque–Bera, skewness &amp; kurtosis z), empirical ±σ rule, histogram vs. normal curve, Q–Q plot, question analysis (difficulty, discrimination, Cronbach's α) and each student's z-score. Key findings at the top are written by formulas.</t>
  </si>
  <si>
    <t xml:space="preserve">Color legend</t>
  </si>
  <si>
    <t xml:space="preserve">Blue text, pale-yellow cell</t>
  </si>
  <si>
    <t xml:space="preserve">A value you type (scores, max points, group #, tracks, thresholds).</t>
  </si>
  <si>
    <t xml:space="preserve">Black text</t>
  </si>
  <si>
    <t xml:space="preserve">A formula — do not type over it; it updates automatically.</t>
  </si>
  <si>
    <t xml:space="preserve">Yellow row (Quiz 2 Grades)</t>
  </si>
  <si>
    <t xml:space="preserve">Student has no Quiz 2 scores yet (status = Missing).</t>
  </si>
  <si>
    <t xml:space="preserve">Green / yellow / red total</t>
  </si>
  <si>
    <t xml:space="preserve">Performance band: Strong / Satisfactory / Needs support (thresholds editable on Quiz 2 Grades, cells T3:T4).</t>
  </si>
  <si>
    <t xml:space="preserve">Red number</t>
  </si>
  <si>
    <t xml:space="preserve">A score of 0 on that part.</t>
  </si>
  <si>
    <t xml:space="preserve">How to…</t>
  </si>
  <si>
    <t xml:space="preserve">Enter a missing score</t>
  </si>
  <si>
    <t xml:space="preserve">Go to Quiz 2 Grades and type the points in the blue cells of that student's row. Everything else recalculates.</t>
  </si>
  <si>
    <t xml:space="preserve">Partly graded quiz</t>
  </si>
  <si>
    <t xml:space="preserve">If some sub-scores are still blank, the Status shows 'Incomplete' and the student is left out of the total, rank and class statistics until every sub-score is entered.</t>
  </si>
  <si>
    <t xml:space="preserve">Add a student</t>
  </si>
  <si>
    <t xml:space="preserve">Insert a new row INSIDE the tables (above the last student) on both Roster and Quiz 2 Grades, then copy the formulas down from the row above. All totals and statistics expand automatically.</t>
  </si>
  <si>
    <t xml:space="preserve">Form project groups</t>
  </si>
  <si>
    <t xml:space="preserve">Roster → pick a Group # for each student (column E, drop-down). Groups tab → choose the project track for each group. Sizes, tracks and averages update automatically.</t>
  </si>
  <si>
    <t xml:space="preserve">Change max points</t>
  </si>
  <si>
    <t xml:space="preserve">Quiz 2 Grades row 5 (blue cells, 'Max points'). Subtotals, %, statistics and score limits follow.</t>
  </si>
  <si>
    <t xml:space="preserve">Sort / filter</t>
  </si>
  <si>
    <t xml:space="preserve">Use the filter arrows on Quiz 2 Grades row 6 (e.g., sort by TOTAL, filter Performance = 'Needs support'). The max-points row and thresholds stay put; names follow the # automatically.</t>
  </si>
  <si>
    <t xml:space="preserve">Notes &amp; assumptions</t>
  </si>
  <si>
    <t xml:space="preserve">Max points</t>
  </si>
  <si>
    <t xml:space="preserve">1.1 = 15, 1.2 a = 6, 1.2 b = 1, 1.2 c = 3, 1.3 = 10 (Problem 1 = 35) and 2.1 = 2.2 = 2.3 = 5 (Problem 2 = 15), total 50 — all from the Quiz 2 answer key. The key gives 1.1 as one 15-point part, so it is one score here (a suggested split is on the Answer Key tab).</t>
  </si>
  <si>
    <t xml:space="preserve">Check in the key</t>
  </si>
  <si>
    <t xml:space="preserve">1.2 a: the key gives the automatic arm cuff a weighted total of 2, but the key's own Pugh chart ("+" for data connectivity) adds up to 4. The 1.2 b answer is the same either way. Confirm with the instructor which total to accept (see the Answer Key tab).</t>
  </si>
  <si>
    <t xml:space="preserve">Performance bands</t>
  </si>
  <si>
    <t xml:space="preserve">Same as Quiz 1 (Quiz 2 is also out of 50): 40–50 green, 26–39 yellow, 0–25 red.</t>
  </si>
  <si>
    <t xml:space="preserve">Names</t>
  </si>
  <si>
    <t xml:space="preserve">Trailing spaces were removed and names split into Last / First (last word = last name). Please double-check spellings against Canvas (e.g., 'Jermy Brown').</t>
  </si>
  <si>
    <t xml:space="preserve">Starting point</t>
  </si>
  <si>
    <t xml:space="preserve">All 52 students start as 'Missing'. Scores, totals and statistics fill in as you grade (the normality tests need at least 12 fully graded quizzes).</t>
  </si>
  <si>
    <t xml:space="preserve">Class Roster</t>
  </si>
  <si>
    <t xml:space="preserve">Pick a Group # for each student (blue drop-down). Set each group's project track on the Groups tab → the student's track fills in automatically.</t>
  </si>
  <si>
    <t xml:space="preserve">#</t>
  </si>
  <si>
    <t xml:space="preserve">Last Name</t>
  </si>
  <si>
    <t xml:space="preserve">First Name</t>
  </si>
  <si>
    <t xml:space="preserve">Full Name</t>
  </si>
  <si>
    <t xml:space="preserve">Group #</t>
  </si>
  <si>
    <t xml:space="preserve">Project Track</t>
  </si>
  <si>
    <t xml:space="preserve">Quiz 2
(/50)</t>
  </si>
  <si>
    <t xml:space="preserve">Quiz 2
%</t>
  </si>
  <si>
    <t xml:space="preserve">Abagwe</t>
  </si>
  <si>
    <t xml:space="preserve">David</t>
  </si>
  <si>
    <t xml:space="preserve">Acharya</t>
  </si>
  <si>
    <t xml:space="preserve">Sonu</t>
  </si>
  <si>
    <t xml:space="preserve">Adams</t>
  </si>
  <si>
    <t xml:space="preserve">Ashton</t>
  </si>
  <si>
    <t xml:space="preserve">Albert</t>
  </si>
  <si>
    <t xml:space="preserve">Hayden</t>
  </si>
  <si>
    <t xml:space="preserve">Allen</t>
  </si>
  <si>
    <t xml:space="preserve">Lani</t>
  </si>
  <si>
    <t xml:space="preserve">Andrade</t>
  </si>
  <si>
    <t xml:space="preserve">John David</t>
  </si>
  <si>
    <t xml:space="preserve">Atkins</t>
  </si>
  <si>
    <t xml:space="preserve">Landon</t>
  </si>
  <si>
    <t xml:space="preserve">Borkland</t>
  </si>
  <si>
    <t xml:space="preserve">Ryan</t>
  </si>
  <si>
    <t xml:space="preserve">Brown</t>
  </si>
  <si>
    <t xml:space="preserve">Jermy</t>
  </si>
  <si>
    <t xml:space="preserve">Calderon</t>
  </si>
  <si>
    <t xml:space="preserve">Eric</t>
  </si>
  <si>
    <t xml:space="preserve">Camarillo</t>
  </si>
  <si>
    <t xml:space="preserve">Angel</t>
  </si>
  <si>
    <t xml:space="preserve">Cappel</t>
  </si>
  <si>
    <t xml:space="preserve">Gavin</t>
  </si>
  <si>
    <t xml:space="preserve">Chelikani</t>
  </si>
  <si>
    <t xml:space="preserve">Venditha</t>
  </si>
  <si>
    <t xml:space="preserve">Colunga</t>
  </si>
  <si>
    <t xml:space="preserve">Brisa</t>
  </si>
  <si>
    <t xml:space="preserve">Cruz-Hernandez</t>
  </si>
  <si>
    <t xml:space="preserve">Axel</t>
  </si>
  <si>
    <t xml:space="preserve">Cuellar</t>
  </si>
  <si>
    <t xml:space="preserve">Devin</t>
  </si>
  <si>
    <t xml:space="preserve">Mia</t>
  </si>
  <si>
    <t xml:space="preserve">Cutrer</t>
  </si>
  <si>
    <t xml:space="preserve">Trevin</t>
  </si>
  <si>
    <t xml:space="preserve">Dillah</t>
  </si>
  <si>
    <t xml:space="preserve">Elizabeth</t>
  </si>
  <si>
    <t xml:space="preserve">Elsas</t>
  </si>
  <si>
    <t xml:space="preserve">Jack</t>
  </si>
  <si>
    <t xml:space="preserve">Felux</t>
  </si>
  <si>
    <t xml:space="preserve">Connor</t>
  </si>
  <si>
    <t xml:space="preserve">Gates</t>
  </si>
  <si>
    <t xml:space="preserve">Hunter</t>
  </si>
  <si>
    <t xml:space="preserve">Gayen</t>
  </si>
  <si>
    <t xml:space="preserve">Brinda</t>
  </si>
  <si>
    <t xml:space="preserve">Gaytan</t>
  </si>
  <si>
    <t xml:space="preserve">Victoria</t>
  </si>
  <si>
    <t xml:space="preserve">Gonzalez</t>
  </si>
  <si>
    <t xml:space="preserve">Jocelyn</t>
  </si>
  <si>
    <t xml:space="preserve">Gutierrez</t>
  </si>
  <si>
    <t xml:space="preserve">Michelle</t>
  </si>
  <si>
    <t xml:space="preserve">Holmes</t>
  </si>
  <si>
    <t xml:space="preserve">Rachel</t>
  </si>
  <si>
    <t xml:space="preserve">Ickert</t>
  </si>
  <si>
    <t xml:space="preserve">Emily</t>
  </si>
  <si>
    <t xml:space="preserve">Jacob</t>
  </si>
  <si>
    <t xml:space="preserve">Mihal</t>
  </si>
  <si>
    <t xml:space="preserve">Jasso</t>
  </si>
  <si>
    <t xml:space="preserve">Alyssa</t>
  </si>
  <si>
    <t xml:space="preserve">Juarez</t>
  </si>
  <si>
    <t xml:space="preserve">Isabella</t>
  </si>
  <si>
    <t xml:space="preserve">Ka</t>
  </si>
  <si>
    <t xml:space="preserve">Maryam</t>
  </si>
  <si>
    <t xml:space="preserve">Koestler</t>
  </si>
  <si>
    <t xml:space="preserve">Jenna</t>
  </si>
  <si>
    <t xml:space="preserve">Kwende</t>
  </si>
  <si>
    <t xml:space="preserve">Shawn</t>
  </si>
  <si>
    <t xml:space="preserve">Larsen</t>
  </si>
  <si>
    <t xml:space="preserve">Kara</t>
  </si>
  <si>
    <t xml:space="preserve">Leal</t>
  </si>
  <si>
    <t xml:space="preserve">Diego</t>
  </si>
  <si>
    <t xml:space="preserve">Leon</t>
  </si>
  <si>
    <t xml:space="preserve">Valeria</t>
  </si>
  <si>
    <t xml:space="preserve">Linhart</t>
  </si>
  <si>
    <t xml:space="preserve">Aaron</t>
  </si>
  <si>
    <t xml:space="preserve">O'neal</t>
  </si>
  <si>
    <t xml:space="preserve">Jared</t>
  </si>
  <si>
    <t xml:space="preserve">Osorio</t>
  </si>
  <si>
    <t xml:space="preserve">Daniela</t>
  </si>
  <si>
    <t xml:space="preserve">Padilla</t>
  </si>
  <si>
    <t xml:space="preserve">Yasmine</t>
  </si>
  <si>
    <t xml:space="preserve">Perrio</t>
  </si>
  <si>
    <t xml:space="preserve">Macie</t>
  </si>
  <si>
    <t xml:space="preserve">Potter</t>
  </si>
  <si>
    <t xml:space="preserve">Emmalie</t>
  </si>
  <si>
    <t xml:space="preserve">Presa</t>
  </si>
  <si>
    <t xml:space="preserve">Luke</t>
  </si>
  <si>
    <t xml:space="preserve">Reyes</t>
  </si>
  <si>
    <t xml:space="preserve">Benny</t>
  </si>
  <si>
    <t xml:space="preserve">Rodriguez</t>
  </si>
  <si>
    <t xml:space="preserve">Noah</t>
  </si>
  <si>
    <t xml:space="preserve">Romashkin</t>
  </si>
  <si>
    <t xml:space="preserve">Roman</t>
  </si>
  <si>
    <t xml:space="preserve">Rushing</t>
  </si>
  <si>
    <t xml:space="preserve">Kayra</t>
  </si>
  <si>
    <t xml:space="preserve">Salada</t>
  </si>
  <si>
    <t xml:space="preserve">Brooke</t>
  </si>
  <si>
    <t xml:space="preserve">Senior</t>
  </si>
  <si>
    <t xml:space="preserve">Haylee</t>
  </si>
  <si>
    <t xml:space="preserve">Tarin</t>
  </si>
  <si>
    <t xml:space="preserve">Hayley</t>
  </si>
  <si>
    <t xml:space="preserve">Wildman</t>
  </si>
  <si>
    <t xml:space="preserve">Shaman</t>
  </si>
  <si>
    <t xml:space="preserve">Project Groups</t>
  </si>
  <si>
    <t xml:space="preserve">Choose each group's project track (blue). Students are assigned on the Roster tab (column E). Group size, size check and averages are formulas.</t>
  </si>
  <si>
    <t xml:space="preserve">Project Track (choose)</t>
  </si>
  <si>
    <t xml:space="preserve"># Students</t>
  </si>
  <si>
    <t xml:space="preserve">Size check</t>
  </si>
  <si>
    <t xml:space="preserve">Avg Quiz 2 %</t>
  </si>
  <si>
    <t xml:space="preserve">Class split &amp; group sizing</t>
  </si>
  <si>
    <t xml:space="preserve">Students on roster</t>
  </si>
  <si>
    <t xml:space="preserve">Assigned to a group</t>
  </si>
  <si>
    <t xml:space="preserve">Not yet assigned</t>
  </si>
  <si>
    <t xml:space="preserve">Methylene Blue Removal students</t>
  </si>
  <si>
    <t xml:space="preserve">Oxygenation students</t>
  </si>
  <si>
    <t xml:space="preserve">Groups on Methylene Blue Removal</t>
  </si>
  <si>
    <t xml:space="preserve">Minimum students per group</t>
  </si>
  <si>
    <t xml:space="preserve">Maximum students per group</t>
  </si>
  <si>
    <t xml:space="preserve">Groups needed (at max size)</t>
  </si>
  <si>
    <t xml:space="preserve">Quiz 2 — Answer Key &amp; Grading Guide</t>
  </si>
  <si>
    <t xml:space="preserve">Answers are copied from the instructor's key (quizz 2 v2 – Sol VF). Points link to the Max points row of Quiz 2 Grades. Rows marked "Suggested" are grading ideas where the key gives no split; red cells = something to confirm with the instructor.</t>
  </si>
  <si>
    <t xml:space="preserve">Points at a glance</t>
  </si>
  <si>
    <t xml:space="preserve">Question</t>
  </si>
  <si>
    <t xml:space="preserve">What it asks</t>
  </si>
  <si>
    <t xml:space="preserve">Points</t>
  </si>
  <si>
    <t xml:space="preserve">Answer (from the key)</t>
  </si>
  <si>
    <t xml:space="preserve">1.1</t>
  </si>
  <si>
    <t xml:space="preserve">Weighted objective tree for Dr. Haack's device</t>
  </si>
  <si>
    <t xml:space="preserve">Local | global weights in the table under 1.1 below (leaf globals 0.15, 0.15, 0.4, 0.1, 0.06, 0.06, 0.08)</t>
  </si>
  <si>
    <t xml:space="preserve">1.2 a</t>
  </si>
  <si>
    <t xml:space="preserve">Pugh chart: weighted total of each monitor (show work)</t>
  </si>
  <si>
    <t xml:space="preserve">Automatic arm cuff 2 · Wrist cuff 1 · Smartwatch −4  (the chart itself gives 4 for the arm cuff — see 1.2 a)</t>
  </si>
  <si>
    <t xml:space="preserve">1.2 b</t>
  </si>
  <si>
    <t xml:space="preserve">Which monitor should the clinic choose?</t>
  </si>
  <si>
    <t xml:space="preserve">Automatic arm cuff</t>
  </si>
  <si>
    <t xml:space="preserve">1.2 c</t>
  </si>
  <si>
    <t xml:space="preserve">Why does the smartwatch finish last?</t>
  </si>
  <si>
    <t xml:space="preserve">It scores poorly on the criteria with the highest weights — accuracy and cost</t>
  </si>
  <si>
    <t xml:space="preserve">1.3</t>
  </si>
  <si>
    <t xml:space="preserve">Water filter: change two criteria weights for one client</t>
  </si>
  <si>
    <t xml:space="preserve">Answers vary — one client, two new weights (1–5), each with a reasonable reason</t>
  </si>
  <si>
    <t xml:space="preserve">2.1</t>
  </si>
  <si>
    <t xml:space="preserve">Constraints: which statement is NOT true?</t>
  </si>
  <si>
    <t xml:space="preserve">c) Cannot be added to the objectives tree</t>
  </si>
  <si>
    <t xml:space="preserve">2.2</t>
  </si>
  <si>
    <t xml:space="preserve">Select the FALSE statement</t>
  </si>
  <si>
    <t xml:space="preserve">c) The engineering code of ethics encourages engineers to perform services in areas outside their competence</t>
  </si>
  <si>
    <t xml:space="preserve">2.3</t>
  </si>
  <si>
    <t xml:space="preserve">Team keeps explaining the data away (week-1 concept)</t>
  </si>
  <si>
    <t xml:space="preserve">b) Anchoring bias</t>
  </si>
  <si>
    <t xml:space="preserve">Problem 1</t>
  </si>
  <si>
    <t xml:space="preserve">Objective tree, Pugh chart, water filter</t>
  </si>
  <si>
    <t xml:space="preserve">Key: 35 pts</t>
  </si>
  <si>
    <t xml:space="preserve">Problem 2</t>
  </si>
  <si>
    <t xml:space="preserve">Multiple choice</t>
  </si>
  <si>
    <t xml:space="preserve">Key: 15 pts</t>
  </si>
  <si>
    <t xml:space="preserve">TOTAL</t>
  </si>
  <si>
    <t xml:space="preserve">Whole quiz</t>
  </si>
  <si>
    <t xml:space="preserve">Answers and how to grade each part</t>
  </si>
  <si>
    <t xml:space="preserve">Answer (key)</t>
  </si>
  <si>
    <t xml:space="preserve">Tree from the key (local weight | global weight): Dr. Haack device 1.0 | 1.0 → Efficient 0.3 | 0.3 (Detect elasticity 0.5 | 0.15, Detect viscosity 0.5 | 0.15) · Safe 0.5 | 0.5 (Avoid human exposure to samples 0.8 | 0.4, Avoid mechanical injuries 0.2 | 0.1) · Marketable 0.2 | 0.2 (Portable 0.3 | 0.06, Inexpensive 0.3 | 0.06, Fast 0.4 | 0.08).</t>
  </si>
  <si>
    <t xml:space="preserve">How to grade</t>
  </si>
  <si>
    <t xml:space="preserve">Suggested — the key gives 15 pts for the whole tree but no split: 1 pt for the three top-level weights (0.3 / 0.5 / 0.2), 1 pt for each of the 7 sub-objective local weights and 1 pt for each of the 7 global weights (global = parent's global × local) = 15. Quiz rule 4: if a local weight is wrong but the multiplication is right, still give the global-weight point.</t>
  </si>
  <si>
    <t xml:space="preserve">Level</t>
  </si>
  <si>
    <t xml:space="preserve">Objective</t>
  </si>
  <si>
    <t xml:space="preserve">Local weight (key)</t>
  </si>
  <si>
    <t xml:space="preserve">Global weight (key)</t>
  </si>
  <si>
    <t xml:space="preserve">Parent global × local</t>
  </si>
  <si>
    <t xml:space="preserve">Matches?</t>
  </si>
  <si>
    <t xml:space="preserve">Dr. Haack device</t>
  </si>
  <si>
    <t xml:space="preserve">Efficient</t>
  </si>
  <si>
    <t xml:space="preserve">Detect elasticity</t>
  </si>
  <si>
    <t xml:space="preserve">Detect viscosity</t>
  </si>
  <si>
    <t xml:space="preserve">Safe</t>
  </si>
  <si>
    <t xml:space="preserve">Avoid human exposure to samples</t>
  </si>
  <si>
    <t xml:space="preserve">Avoid mechanical injuries</t>
  </si>
  <si>
    <t xml:space="preserve">Marketable</t>
  </si>
  <si>
    <t xml:space="preserve">Portable</t>
  </si>
  <si>
    <t xml:space="preserve">Inexpensive</t>
  </si>
  <si>
    <t xml:space="preserve">Fast</t>
  </si>
  <si>
    <t xml:space="preserve">Sum of the 7 sub-objective global weights</t>
  </si>
  <si>
    <t xml:space="preserve">1.2 a  key</t>
  </si>
  <si>
    <t xml:space="preserve">Automatic arm cuff: (0 x 5) + (2 x 3) + (-1 x 4) + (0 x 2) = 2
Wrist Cuff: (-1 x 5) + (2 x 3) + (-1 x 4) + (1 x 2) + (1 x 2) = 1
Smart watch: (-2 x 5) + (2 x 3) + (-2 x 4) + (2 x 2) + (2 x 2) = -4</t>
  </si>
  <si>
    <t xml:space="preserve">1.2 a  check</t>
  </si>
  <si>
    <t xml:space="preserve">The key's line for the automatic arm cuff uses 0 for data connectivity and leaves out portability, but its own chart gives the arm cuff "+" for data connectivity: (0×5) + (2×3) + (−1×4) + (1×2) + (0×2) = 4 (see the table below). Confirm with the instructor which total gets credit — suggestion: accept 2 or 4. The ranking and the 1.2 b answer do not change.</t>
  </si>
  <si>
    <t xml:space="preserve">1.2 a  grade</t>
  </si>
  <si>
    <t xml:space="preserve">Suggested: 2 pts per monitor — 1 for the work (each rating × its weight, summed over the five criteria) and 1 for the correct total.</t>
  </si>
  <si>
    <t xml:space="preserve">1.2 b  key</t>
  </si>
  <si>
    <t xml:space="preserve">1.2 b  grade</t>
  </si>
  <si>
    <t xml:space="preserve">1 pt. Suggested (quiz rule 4): also give it when the student picks the highest total from their own 1.2 a numbers.</t>
  </si>
  <si>
    <t xml:space="preserve">1.2 c  key</t>
  </si>
  <si>
    <t xml:space="preserve">It scores poorly in the categories that have a higher weight – accuracy and cost. Therefore, based on the most important criteria, it fails.</t>
  </si>
  <si>
    <t xml:space="preserve">1.2 c  grade</t>
  </si>
  <si>
    <t xml:space="preserve">Suggested: 3 pts for linking the smartwatch's low scores (– –) to the two highest-weighted criteria, accuracy (5) and cost (4); 2 pts if they name accuracy and cost but say nothing about the weights; 1 pt if they only say the weights matter without naming the criteria.</t>
  </si>
  <si>
    <t xml:space="preserve">Rating</t>
  </si>
  <si>
    <t xml:space="preserve">Criterion</t>
  </si>
  <si>
    <t xml:space="preserve">Weight</t>
  </si>
  <si>
    <t xml:space="preserve">Manual cuff (gold std.)</t>
  </si>
  <si>
    <t xml:space="preserve">Wrist cuff</t>
  </si>
  <si>
    <t xml:space="preserve">Smartwatch</t>
  </si>
  <si>
    <t xml:space="preserve">++ = +2
+ = +1
S = 0
– = −1
– – = −2</t>
  </si>
  <si>
    <t xml:space="preserve">Accuracy</t>
  </si>
  <si>
    <t xml:space="preserve">Ease of use</t>
  </si>
  <si>
    <t xml:space="preserve">Cost</t>
  </si>
  <si>
    <t xml:space="preserve">Data connectivity</t>
  </si>
  <si>
    <t xml:space="preserve">Portability</t>
  </si>
  <si>
    <t xml:space="preserve">Weighted total — from the chart</t>
  </si>
  <si>
    <t xml:space="preserve">Weighted total — in the key</t>
  </si>
  <si>
    <t xml:space="preserve">Same?</t>
  </si>
  <si>
    <t xml:space="preserve">Answers will vary. Full credit if they choose one "client" (backpacker, rural family on a private well, or disaster-relief agency) and describe two changes with a reasonable justification. They may have circled the client on the previous page.</t>
  </si>
  <si>
    <t xml:space="preserve">From the key: 5 points per criterion change with reasonable justification (10 pts total). If they did extra work and described changes for multiple clients, they can also get full credit. If they only describe one criterion change, or the justification is not reasonable, subtract 5 points per criterion.</t>
  </si>
  <si>
    <t xml:space="preserve">Which one of the following is NOT true about constraints?  →  c) Cannot be added to the objectives tree</t>
  </si>
  <si>
    <t xml:space="preserve">Select the FALSE statement  →  c) The engineering code of ethics encourages engineers to perform services in areas outside their competence</t>
  </si>
  <si>
    <t xml:space="preserve">Team keeps explaining the benchmarking and test data away and only tweaks its week-1 idea  →  b) Anchoring bias</t>
  </si>
  <si>
    <t xml:space="preserve">5 pts for the correct letter, 0 otherwise.</t>
  </si>
  <si>
    <t xml:space="preserve">Quiz 2 — Grades by Student</t>
  </si>
  <si>
    <t xml:space="preserve">Blue cells = scores you type. Subtotals, total, %, band, rank and status are formulas. Rows turn yellow when a student has no scores.</t>
  </si>
  <si>
    <t xml:space="preserve">Strong (green) if total ≥</t>
  </si>
  <si>
    <t xml:space="preserve">Student</t>
  </si>
  <si>
    <t xml:space="preserve">Results</t>
  </si>
  <si>
    <t xml:space="preserve">Satisfactory (yellow) if total ≥</t>
  </si>
  <si>
    <t xml:space="preserve">Needs support (red) if total &lt;</t>
  </si>
  <si>
    <t xml:space="preserve">Student Name</t>
  </si>
  <si>
    <t xml:space="preserve">P1 Total</t>
  </si>
  <si>
    <t xml:space="preserve">P2 Total</t>
  </si>
  <si>
    <t xml:space="preserve">%</t>
  </si>
  <si>
    <t xml:space="preserve">Performance</t>
  </si>
  <si>
    <t xml:space="preserve">Rank</t>
  </si>
  <si>
    <t xml:space="preserve">Status</t>
  </si>
  <si>
    <t xml:space="preserve">Class average</t>
  </si>
  <si>
    <t xml:space="preserve">Average % of max</t>
  </si>
  <si>
    <t xml:space="preserve">Highest</t>
  </si>
  <si>
    <t xml:space="preserve">Lowest</t>
  </si>
  <si>
    <t xml:space="preserve">Students graded</t>
  </si>
  <si>
    <t xml:space="preserve">Totals, ranks and statistics include only fully graded quizzes (Status = Graded).</t>
  </si>
  <si>
    <t xml:space="preserve">All statistics are formulas that read the Quiz 2 Grades sheet (students with no scores are excluded). Use the Flag column to decide what to review in class.</t>
  </si>
  <si>
    <t xml:space="preserve">Max Pts</t>
  </si>
  <si>
    <t xml:space="preserve"># Graded</t>
  </si>
  <si>
    <t xml:space="preserve">Average</t>
  </si>
  <si>
    <t xml:space="preserve">Average %</t>
  </si>
  <si>
    <t xml:space="preserve">Median</t>
  </si>
  <si>
    <t xml:space="preserve">Std Dev</t>
  </si>
  <si>
    <t xml:space="preserve"># Full
Marks</t>
  </si>
  <si>
    <t xml:space="preserve">% Full
Marks</t>
  </si>
  <si>
    <t xml:space="preserve"># Zeros</t>
  </si>
  <si>
    <t xml:space="preserve">% Zeros</t>
  </si>
  <si>
    <t xml:space="preserve">Flag</t>
  </si>
  <si>
    <t xml:space="preserve">Flag thresholds</t>
  </si>
  <si>
    <t xml:space="preserve">OK if average % ≥</t>
  </si>
  <si>
    <t xml:space="preserve">Review in class if average % &lt;</t>
  </si>
  <si>
    <t xml:space="preserve">…or if % of zeros ≥</t>
  </si>
  <si>
    <t xml:space="preserve">(otherwise, below the OK line = Monitor)</t>
  </si>
  <si>
    <t xml:space="preserve">Problem 1 total</t>
  </si>
  <si>
    <t xml:space="preserve">Problem 2 total</t>
  </si>
  <si>
    <t xml:space="preserve">QUIZ TOTAL</t>
  </si>
  <si>
    <t xml:space="preserve">Quiz 2 — Class Summary</t>
  </si>
  <si>
    <t xml:space="preserve">Everything on this sheet is calculated from the Quiz 2 Grades and Roster sheets (fully graded quizzes only).</t>
  </si>
  <si>
    <t xml:space="preserve">At a glance</t>
  </si>
  <si>
    <t xml:space="preserve">Band</t>
  </si>
  <si>
    <t xml:space="preserve">Range</t>
  </si>
  <si>
    <t xml:space="preserve">% of graded</t>
  </si>
  <si>
    <t xml:space="preserve">Quizzes fully graded</t>
  </si>
  <si>
    <t xml:space="preserve">Strong</t>
  </si>
  <si>
    <t xml:space="preserve">Incomplete (some scores missing)</t>
  </si>
  <si>
    <t xml:space="preserve">Satisfactory</t>
  </si>
  <si>
    <t xml:space="preserve">Missing (no scores)</t>
  </si>
  <si>
    <t xml:space="preserve">Needs support</t>
  </si>
  <si>
    <t xml:space="preserve">Class average (/50)</t>
  </si>
  <si>
    <t xml:space="preserve">Total graded</t>
  </si>
  <si>
    <t xml:space="preserve">Class average (%)</t>
  </si>
  <si>
    <t xml:space="preserve">Median (/50)</t>
  </si>
  <si>
    <t xml:space="preserve">Standard deviation</t>
  </si>
  <si>
    <t xml:space="preserve">Highest score</t>
  </si>
  <si>
    <t xml:space="preserve">Lowest score</t>
  </si>
  <si>
    <t xml:space="preserve">Score distribution (total /50)</t>
  </si>
  <si>
    <t xml:space="preserve">Score range</t>
  </si>
  <si>
    <t xml:space="preserve">From</t>
  </si>
  <si>
    <t xml:space="preserve">To</t>
  </si>
  <si>
    <t xml:space="preserve">Total</t>
  </si>
  <si>
    <t xml:space="preserve">Check: equals quizzes fully graded?</t>
  </si>
  <si>
    <t xml:space="preserve">Statistical Analysis — Quiz 2 (Gaussian fit)</t>
  </si>
  <si>
    <t xml:space="preserve">Every value is a formula over the fully graded Quiz 2 totals, so the analysis updates when grades change. Blue cells = settings you can change. Tests use α = 0.05 (cell B34).</t>
  </si>
  <si>
    <t xml:space="preserve">Key findings (these sentences update automatically)</t>
  </si>
  <si>
    <t xml:space="preserve">1. Descriptive statistics</t>
  </si>
  <si>
    <t xml:space="preserve">2. Is the class distribution Gaussian? (normality tests)</t>
  </si>
  <si>
    <t xml:space="preserve">Calculation helpers (formulas — do not edit)</t>
  </si>
  <si>
    <t xml:space="preserve">Test intermediates</t>
  </si>
  <si>
    <t xml:space="preserve">Graded-only data for item analysis (formulas — do not edit)</t>
  </si>
  <si>
    <t xml:space="preserve">Statistic</t>
  </si>
  <si>
    <t xml:space="preserve">Value</t>
  </si>
  <si>
    <t xml:space="preserve">Note</t>
  </si>
  <si>
    <t xml:space="preserve">Test</t>
  </si>
  <si>
    <t xml:space="preserve">p-value</t>
  </si>
  <si>
    <t xml:space="preserve">Verdict</t>
  </si>
  <si>
    <t xml:space="preserve">What it checks</t>
  </si>
  <si>
    <t xml:space="preserve">i</t>
  </si>
  <si>
    <t xml:space="preserve">Sorted score y(i)</t>
  </si>
  <si>
    <t xml:space="preserve">Plot position p</t>
  </si>
  <si>
    <t xml:space="preserve">Normal quantile m</t>
  </si>
  <si>
    <t xml:space="preserve">Expected score (Q–Q x)</t>
  </si>
  <si>
    <t xml:space="preserve">SW weight a</t>
  </si>
  <si>
    <t xml:space="preserve">a × y(i)</t>
  </si>
  <si>
    <t xml:space="preserve">AD term</t>
  </si>
  <si>
    <t xml:space="preserve">Rest 1.1</t>
  </si>
  <si>
    <t xml:space="preserve">Rest 1.2 a</t>
  </si>
  <si>
    <t xml:space="preserve">Rest 1.2 b</t>
  </si>
  <si>
    <t xml:space="preserve">Rest 1.2 c</t>
  </si>
  <si>
    <t xml:space="preserve">Rest 1.3</t>
  </si>
  <si>
    <t xml:space="preserve">Rest 2.1</t>
  </si>
  <si>
    <t xml:space="preserve">Rest 2.2</t>
  </si>
  <si>
    <t xml:space="preserve">Rest 2.3</t>
  </si>
  <si>
    <t xml:space="preserve">Graded quizzes (n)</t>
  </si>
  <si>
    <t xml:space="preserve">Only fully graded quizzes count</t>
  </si>
  <si>
    <t xml:space="preserve">Skewness z-test</t>
  </si>
  <si>
    <t xml:space="preserve">Symmetry (z = skewness ÷ its standard error)</t>
  </si>
  <si>
    <t xml:space="preserve">Σ m²</t>
  </si>
  <si>
    <t xml:space="preserve">Mean (points)</t>
  </si>
  <si>
    <t xml:space="preserve">Kurtosis z-test</t>
  </si>
  <si>
    <t xml:space="preserve">Peak / tails vs. a bell curve</t>
  </si>
  <si>
    <t xml:space="preserve">u = 1/√n</t>
  </si>
  <si>
    <t xml:space="preserve">Median (points)</t>
  </si>
  <si>
    <t xml:space="preserve">Middle student</t>
  </si>
  <si>
    <t xml:space="preserve">Jarque–Bera</t>
  </si>
  <si>
    <t xml:space="preserve">Skewness + kurtosis together (large-sample test)</t>
  </si>
  <si>
    <t xml:space="preserve">c(n) = m(n)/√Σm²</t>
  </si>
  <si>
    <t xml:space="preserve">Standard deviation (sample)</t>
  </si>
  <si>
    <t xml:space="preserve">Typical distance from the mean</t>
  </si>
  <si>
    <t xml:space="preserve">Anderson–Darling (A²*)</t>
  </si>
  <si>
    <t xml:space="preserve">Whole distribution, extra weight on the tails</t>
  </si>
  <si>
    <t xml:space="preserve">c(n−1)</t>
  </si>
  <si>
    <t xml:space="preserve">Variance</t>
  </si>
  <si>
    <t xml:space="preserve">Shapiro–Wilk (W)</t>
  </si>
  <si>
    <t xml:space="preserve">Most powerful general test for n ≤ 50 (Royston 1992 approximation)</t>
  </si>
  <si>
    <t xml:space="preserve">a(n)  [Royston 1992]</t>
  </si>
  <si>
    <t xml:space="preserve">Standard error of the mean</t>
  </si>
  <si>
    <t xml:space="preserve">SD ÷ √n</t>
  </si>
  <si>
    <t xml:space="preserve">a(n−1)</t>
  </si>
  <si>
    <t xml:space="preserve">t-distribution</t>
  </si>
  <si>
    <t xml:space="preserve">φ</t>
  </si>
  <si>
    <t xml:space="preserve">3. Empirical rule — students within ±σ of the mean</t>
  </si>
  <si>
    <t xml:space="preserve">Σ a·y</t>
  </si>
  <si>
    <t xml:space="preserve">Minimum</t>
  </si>
  <si>
    <t xml:space="preserve">Interval</t>
  </si>
  <si>
    <t xml:space="preserve">Expected % (Gaussian)</t>
  </si>
  <si>
    <t xml:space="preserve">Observed students</t>
  </si>
  <si>
    <t xml:space="preserve">Observed %</t>
  </si>
  <si>
    <t xml:space="preserve">Σ (y − ȳ)²</t>
  </si>
  <si>
    <t xml:space="preserve">1st quartile (Q1)</t>
  </si>
  <si>
    <t xml:space="preserve">25% of students scored below</t>
  </si>
  <si>
    <t xml:space="preserve">Within ±1σ</t>
  </si>
  <si>
    <t xml:space="preserve">Shapiro–Wilk W</t>
  </si>
  <si>
    <t xml:space="preserve">3rd quartile (Q3)</t>
  </si>
  <si>
    <t xml:space="preserve">75% of students scored below</t>
  </si>
  <si>
    <t xml:space="preserve">Within ±2σ</t>
  </si>
  <si>
    <t xml:space="preserve">ln n</t>
  </si>
  <si>
    <t xml:space="preserve">Maximum</t>
  </si>
  <si>
    <t xml:space="preserve">Within ±3σ</t>
  </si>
  <si>
    <t xml:space="preserve">μ (Royston, n ≥ 12)</t>
  </si>
  <si>
    <t xml:space="preserve">Max − min</t>
  </si>
  <si>
    <t xml:space="preserve">σ (Royston, n ≥ 12)</t>
  </si>
  <si>
    <t xml:space="preserve">Interquartile range (IQR)</t>
  </si>
  <si>
    <t xml:space="preserve">Spread of the middle 50%</t>
  </si>
  <si>
    <t xml:space="preserve">σ band</t>
  </si>
  <si>
    <t xml:space="preserve">z(W)</t>
  </si>
  <si>
    <t xml:space="preserve">Coefficient of variation</t>
  </si>
  <si>
    <t xml:space="preserve">SD ÷ mean</t>
  </si>
  <si>
    <t xml:space="preserve">Above +1σ</t>
  </si>
  <si>
    <t xml:space="preserve">p (Shapiro–Wilk)</t>
  </si>
  <si>
    <t xml:space="preserve">Skewness</t>
  </si>
  <si>
    <t xml:space="preserve">&lt; 0: tail toward low scores</t>
  </si>
  <si>
    <t xml:space="preserve">Mean to +1σ</t>
  </si>
  <si>
    <t xml:space="preserve">A² (Anderson–Darling)</t>
  </si>
  <si>
    <t xml:space="preserve">Excess kurtosis</t>
  </si>
  <si>
    <t xml:space="preserve">0 = bell curve; &lt; 0 flatter</t>
  </si>
  <si>
    <t xml:space="preserve">−1σ to mean</t>
  </si>
  <si>
    <t xml:space="preserve">A²* = A²(1 + 0.75/n + 2.25/n²)</t>
  </si>
  <si>
    <t xml:space="preserve">Mean as % of max</t>
  </si>
  <si>
    <t xml:space="preserve">−2σ to −1σ</t>
  </si>
  <si>
    <t xml:space="preserve">p (Anderson–Darling)</t>
  </si>
  <si>
    <t xml:space="preserve">Median as % of max</t>
  </si>
  <si>
    <t xml:space="preserve">Below −2σ</t>
  </si>
  <si>
    <t xml:space="preserve">SE of skewness</t>
  </si>
  <si>
    <t xml:space="preserve">Significance level α (for tests)</t>
  </si>
  <si>
    <t xml:space="preserve">SE of kurtosis</t>
  </si>
  <si>
    <t xml:space="preserve">Confidence level (for the CI)</t>
  </si>
  <si>
    <t xml:space="preserve">Q–Q reference line</t>
  </si>
  <si>
    <t xml:space="preserve">4. Score distribution vs. the Gaussian (normal) curve</t>
  </si>
  <si>
    <t xml:space="preserve">Score bin</t>
  </si>
  <si>
    <t xml:space="preserve">Midpoint</t>
  </si>
  <si>
    <t xml:space="preserve">Expected if Gaussian</t>
  </si>
  <si>
    <t xml:space="preserve">Observed − expected</t>
  </si>
  <si>
    <t xml:space="preserve">Total (0 – max)</t>
  </si>
  <si>
    <t xml:space="preserve">Expected below 0 (impossible score)</t>
  </si>
  <si>
    <t xml:space="preserve">Expected above the maximum (ceiling)</t>
  </si>
  <si>
    <t xml:space="preserve">5. Question (item) analysis — graded quizzes only</t>
  </si>
  <si>
    <t xml:space="preserve">Max pts</t>
  </si>
  <si>
    <t xml:space="preserve">Difficulty (avg %)</t>
  </si>
  <si>
    <t xml:space="preserve">SD</t>
  </si>
  <si>
    <t xml:space="preserve">Item–rest correlation</t>
  </si>
  <si>
    <t xml:space="preserve">Discrimination</t>
  </si>
  <si>
    <t xml:space="preserve">Hint</t>
  </si>
  <si>
    <t xml:space="preserve">Cronbach's α (reliability of the total)</t>
  </si>
  <si>
    <t xml:space="preserve">≥ 0.70 acceptable for a classroom test; short quizzes (8 questions) are often 0.5–0.7.</t>
  </si>
  <si>
    <t xml:space="preserve">Item–rest correlation = correlation between a question and the total of the OTHER questions (≥ 0.30 good, 0.20–0.29 fair, &lt; 0.20 weak).</t>
  </si>
  <si>
    <t xml:space="preserve">Note: the NA() values in columns Q and T (and Y37:Z38 before any grades) mark rows with no data — they keep the Q–Q chart clean.</t>
  </si>
  <si>
    <t xml:space="preserve">6. Student standing on the Gaussian scale</t>
  </si>
  <si>
    <t xml:space="preserve">z-score</t>
  </si>
  <si>
    <t xml:space="preserve">Percentile (actual rank)</t>
  </si>
  <si>
    <t xml:space="preserve">Percentile if Gaussian</t>
  </si>
</sst>
</file>

<file path=xl/styles.xml><?xml version="1.0" encoding="utf-8"?>
<styleSheet xmlns="http://schemas.openxmlformats.org/spreadsheetml/2006/main">
  <numFmts count="14">
    <numFmt numFmtId="164" formatCode="General"/>
    <numFmt numFmtId="165" formatCode="0.0"/>
    <numFmt numFmtId="166" formatCode="0%"/>
    <numFmt numFmtId="167" formatCode="General"/>
    <numFmt numFmtId="168" formatCode="0"/>
    <numFmt numFmtId="169" formatCode="0.0#"/>
    <numFmt numFmtId="170" formatCode="0.00"/>
    <numFmt numFmtId="171" formatCode="\+0;\−0;\S"/>
    <numFmt numFmtId="172" formatCode="0.0%"/>
    <numFmt numFmtId="173" formatCode="0.000"/>
    <numFmt numFmtId="174" formatCode="0.0000"/>
    <numFmt numFmtId="175" formatCode="0.000000"/>
    <numFmt numFmtId="176" formatCode="\+0.0;\-0.0;0.0"/>
    <numFmt numFmtId="177" formatCode="\+0.00;\-0.00;0.00"/>
  </numFmts>
  <fonts count="29">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595959"/>
      <name val="Arial"/>
      <family val="0"/>
      <charset val="1"/>
    </font>
    <font>
      <b val="true"/>
      <sz val="12"/>
      <color rgb="FFCC0000"/>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b val="true"/>
      <sz val="10"/>
      <color rgb="FFC00000"/>
      <name val="Arial"/>
      <family val="0"/>
      <charset val="1"/>
    </font>
    <font>
      <b val="true"/>
      <sz val="10"/>
      <color rgb="FFFFFFFF"/>
      <name val="Arial"/>
      <family val="0"/>
      <charset val="1"/>
    </font>
    <font>
      <sz val="10"/>
      <name val="Arial"/>
      <family val="2"/>
    </font>
    <font>
      <b val="true"/>
      <sz val="10"/>
      <color rgb="FF9C0006"/>
      <name val="Arial"/>
      <family val="0"/>
      <charset val="1"/>
    </font>
    <font>
      <i val="true"/>
      <sz val="8"/>
      <color rgb="FF595959"/>
      <name val="Arial"/>
      <family val="0"/>
      <charset val="1"/>
    </font>
    <font>
      <b val="true"/>
      <sz val="10"/>
      <color rgb="FF0000FF"/>
      <name val="Arial"/>
      <family val="0"/>
      <charset val="1"/>
    </font>
    <font>
      <b val="true"/>
      <i val="true"/>
      <sz val="10"/>
      <color rgb="FF000000"/>
      <name val="Arial"/>
      <family val="0"/>
      <charset val="1"/>
    </font>
    <font>
      <b val="true"/>
      <sz val="18"/>
      <color rgb="FF000000"/>
      <name val="Calibri"/>
      <family val="2"/>
    </font>
    <font>
      <sz val="10"/>
      <color rgb="FF000000"/>
      <name val="Calibri"/>
      <family val="2"/>
    </font>
    <font>
      <b val="true"/>
      <sz val="10"/>
      <color rgb="FF006100"/>
      <name val="Arial"/>
      <family val="0"/>
      <charset val="1"/>
    </font>
    <font>
      <b val="true"/>
      <sz val="10"/>
      <color rgb="FF9C5700"/>
      <name val="Arial"/>
      <family val="0"/>
      <charset val="1"/>
    </font>
    <font>
      <b val="true"/>
      <sz val="12"/>
      <color rgb="FF595959"/>
      <name val="Arial"/>
      <family val="0"/>
      <charset val="1"/>
    </font>
    <font>
      <b val="true"/>
      <sz val="10"/>
      <color rgb="FF595959"/>
      <name val="Arial"/>
      <family val="0"/>
      <charset val="1"/>
    </font>
    <font>
      <sz val="8"/>
      <color rgb="FF595959"/>
      <name val="Arial"/>
      <family val="0"/>
      <charset val="1"/>
    </font>
    <font>
      <b val="true"/>
      <sz val="9"/>
      <color rgb="FF000000"/>
      <name val="Arial"/>
      <family val="0"/>
      <charset val="1"/>
    </font>
    <font>
      <b val="true"/>
      <sz val="8"/>
      <color rgb="FF595959"/>
      <name val="Arial"/>
      <family val="0"/>
      <charset val="1"/>
    </font>
    <font>
      <i val="true"/>
      <sz val="9"/>
      <color rgb="FF000000"/>
      <name val="Arial"/>
      <family val="0"/>
      <charset val="1"/>
    </font>
    <font>
      <i val="true"/>
      <sz val="8"/>
      <color rgb="FF000000"/>
      <name val="Arial"/>
      <family val="0"/>
      <charset val="1"/>
    </font>
    <font>
      <b val="true"/>
      <sz val="10"/>
      <color rgb="FF000000"/>
      <name val="Calibri"/>
      <family val="2"/>
    </font>
  </fonts>
  <fills count="14">
    <fill>
      <patternFill patternType="none"/>
    </fill>
    <fill>
      <patternFill patternType="gray125"/>
    </fill>
    <fill>
      <patternFill patternType="solid">
        <fgColor rgb="FFCC0000"/>
        <bgColor rgb="FFC00000"/>
      </patternFill>
    </fill>
    <fill>
      <patternFill patternType="solid">
        <fgColor rgb="FFFFF9E5"/>
        <bgColor rgb="FFF7F7F7"/>
      </patternFill>
    </fill>
    <fill>
      <patternFill patternType="solid">
        <fgColor rgb="FFFFF2CC"/>
        <bgColor rgb="FFFFF9E5"/>
      </patternFill>
    </fill>
    <fill>
      <patternFill patternType="solid">
        <fgColor rgb="FFC6EFCE"/>
        <bgColor rgb="FFE2EFDA"/>
      </patternFill>
    </fill>
    <fill>
      <patternFill patternType="solid">
        <fgColor rgb="FF262626"/>
        <bgColor rgb="FF333300"/>
      </patternFill>
    </fill>
    <fill>
      <patternFill patternType="solid">
        <fgColor rgb="FFFFC7CE"/>
        <bgColor rgb="FFD9D9D9"/>
      </patternFill>
    </fill>
    <fill>
      <patternFill patternType="solid">
        <fgColor rgb="FFF2F2F2"/>
        <bgColor rgb="FFF7F7F7"/>
      </patternFill>
    </fill>
    <fill>
      <patternFill patternType="solid">
        <fgColor rgb="FF7F1D1D"/>
        <bgColor rgb="FF9C0006"/>
      </patternFill>
    </fill>
    <fill>
      <patternFill patternType="solid">
        <fgColor rgb="FF595959"/>
        <bgColor rgb="FF2F5597"/>
      </patternFill>
    </fill>
    <fill>
      <patternFill patternType="solid">
        <fgColor rgb="FFFFEB9C"/>
        <bgColor rgb="FFFFF2CC"/>
      </patternFill>
    </fill>
    <fill>
      <patternFill patternType="solid">
        <fgColor rgb="FFF7F9FC"/>
        <bgColor rgb="FFF7F7F7"/>
      </patternFill>
    </fill>
    <fill>
      <patternFill patternType="solid">
        <fgColor rgb="FFFFFFFF"/>
        <bgColor rgb="FFF7F9F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true" indent="1" shrinkToFit="false"/>
      <protection locked="true" hidden="false"/>
    </xf>
    <xf numFmtId="164" fontId="6" fillId="0"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6" fontId="8"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7" fontId="8" fillId="0" borderId="1" xfId="0" applyFont="true" applyBorder="true" applyAlignment="true" applyProtection="false">
      <alignment horizontal="center" vertical="center" textRotation="0" wrapText="true" indent="0" shrinkToFit="false"/>
      <protection locked="true" hidden="false"/>
    </xf>
    <xf numFmtId="168" fontId="7" fillId="0" borderId="1" xfId="0" applyFont="true" applyBorder="true" applyAlignment="true" applyProtection="false">
      <alignment horizontal="center" vertical="center" textRotation="0" wrapText="tru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left" vertical="center" textRotation="0" wrapText="true" indent="0" shrinkToFit="false"/>
      <protection locked="true" hidden="false"/>
    </xf>
    <xf numFmtId="164" fontId="8" fillId="8" borderId="1" xfId="0" applyFont="true" applyBorder="true" applyAlignment="true" applyProtection="false">
      <alignment horizontal="left" vertical="center" textRotation="0" wrapText="true" indent="0" shrinkToFit="false"/>
      <protection locked="true" hidden="false"/>
    </xf>
    <xf numFmtId="164" fontId="11" fillId="9" borderId="1" xfId="0" applyFont="true" applyBorder="true" applyAlignment="true" applyProtection="false">
      <alignment horizontal="left" vertical="center" textRotation="0" wrapText="false" indent="1"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9" fontId="9" fillId="3" borderId="1" xfId="0" applyFont="true" applyBorder="true" applyAlignment="true" applyProtection="false">
      <alignment horizontal="center" vertical="center" textRotation="0" wrapText="true" indent="0" shrinkToFit="false"/>
      <protection locked="true" hidden="false"/>
    </xf>
    <xf numFmtId="169" fontId="8"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2" shrinkToFit="false"/>
      <protection locked="true" hidden="false"/>
    </xf>
    <xf numFmtId="164" fontId="8" fillId="0" borderId="1" xfId="0" applyFont="true" applyBorder="true" applyAlignment="true" applyProtection="false">
      <alignment horizontal="left" vertical="center" textRotation="0" wrapText="false" indent="4" shrinkToFit="false"/>
      <protection locked="true" hidden="false"/>
    </xf>
    <xf numFmtId="170" fontId="7" fillId="8" borderId="1" xfId="0" applyFont="true" applyBorder="true" applyAlignment="true" applyProtection="false">
      <alignment horizontal="center" vertical="center" textRotation="0" wrapText="true" indent="0" shrinkToFit="false"/>
      <protection locked="true" hidden="false"/>
    </xf>
    <xf numFmtId="164" fontId="13" fillId="7"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71" fontId="9" fillId="3" borderId="1" xfId="0" applyFont="true" applyBorder="true" applyAlignment="true" applyProtection="false">
      <alignment horizontal="center" vertical="center" textRotation="0" wrapText="tru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4" fontId="11" fillId="6" borderId="0" xfId="0" applyFont="true" applyBorder="true" applyAlignment="true" applyProtection="false">
      <alignment horizontal="center" vertical="center" textRotation="0" wrapText="true" indent="0" shrinkToFit="false"/>
      <protection locked="true" hidden="false"/>
    </xf>
    <xf numFmtId="164" fontId="11" fillId="10"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8" fillId="11" borderId="1" xfId="0" applyFont="true" applyBorder="true" applyAlignment="false" applyProtection="false">
      <alignment horizontal="general" vertical="bottom" textRotation="0" wrapText="false" indent="0" shrinkToFit="false"/>
      <protection locked="true" hidden="false"/>
    </xf>
    <xf numFmtId="164" fontId="0" fillId="8" borderId="1" xfId="0" applyFont="false" applyBorder="true" applyAlignment="true" applyProtection="false">
      <alignment horizontal="center" vertical="center" textRotation="0" wrapText="true" indent="0" shrinkToFit="false"/>
      <protection locked="true" hidden="false"/>
    </xf>
    <xf numFmtId="164" fontId="16" fillId="8" borderId="1" xfId="0" applyFont="true" applyBorder="true" applyAlignment="true" applyProtection="false">
      <alignment horizontal="left" vertical="center" textRotation="0" wrapText="true" indent="0" shrinkToFit="false"/>
      <protection locked="true" hidden="false"/>
    </xf>
    <xf numFmtId="167" fontId="16" fillId="8"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false" applyProtection="false">
      <alignment horizontal="general" vertical="bottom" textRotation="0" wrapText="false" indent="0" shrinkToFit="false"/>
      <protection locked="true" hidden="false"/>
    </xf>
    <xf numFmtId="164" fontId="7" fillId="8" borderId="1" xfId="0" applyFont="true" applyBorder="true" applyAlignment="false" applyProtection="false">
      <alignment horizontal="general" vertical="bottom" textRotation="0" wrapText="false" indent="0" shrinkToFit="false"/>
      <protection locked="true" hidden="false"/>
    </xf>
    <xf numFmtId="165" fontId="7" fillId="8" borderId="1" xfId="0" applyFont="true" applyBorder="true" applyAlignment="true" applyProtection="false">
      <alignment horizontal="center" vertical="center" textRotation="0" wrapText="true" indent="0" shrinkToFit="false"/>
      <protection locked="true" hidden="false"/>
    </xf>
    <xf numFmtId="166" fontId="7" fillId="8" borderId="1" xfId="0" applyFont="true" applyBorder="true" applyAlignment="true" applyProtection="false">
      <alignment horizontal="center" vertical="center" textRotation="0" wrapText="true" indent="0" shrinkToFit="false"/>
      <protection locked="true" hidden="false"/>
    </xf>
    <xf numFmtId="168" fontId="7" fillId="8"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4" fontId="19" fillId="5" borderId="1" xfId="0" applyFont="true" applyBorder="true" applyAlignment="false" applyProtection="false">
      <alignment horizontal="general" vertical="bottom" textRotation="0" wrapText="false" indent="0" shrinkToFit="false"/>
      <protection locked="true" hidden="false"/>
    </xf>
    <xf numFmtId="164" fontId="20" fillId="11" borderId="1" xfId="0" applyFont="true" applyBorder="true" applyAlignment="false" applyProtection="false">
      <alignment horizontal="general" vertical="bottom" textRotation="0" wrapText="false" indent="0" shrinkToFit="false"/>
      <protection locked="true" hidden="false"/>
    </xf>
    <xf numFmtId="164" fontId="13" fillId="7"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72" fontId="7" fillId="0"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12" borderId="1" xfId="0" applyFont="true" applyBorder="true" applyAlignment="true" applyProtection="false">
      <alignment horizontal="left" vertical="center" textRotation="0" wrapText="true" indent="1" shrinkToFit="false"/>
      <protection locked="true" hidden="false"/>
    </xf>
    <xf numFmtId="164" fontId="8" fillId="13" borderId="1" xfId="0" applyFont="true" applyBorder="true" applyAlignment="true" applyProtection="false">
      <alignment horizontal="left" vertical="center" textRotation="0" wrapText="true" indent="1" shrinkToFit="false"/>
      <protection locked="true" hidden="false"/>
    </xf>
    <xf numFmtId="164" fontId="21" fillId="0" borderId="0" xfId="0" applyFont="true" applyBorder="true" applyAlignment="true" applyProtection="false">
      <alignment horizontal="left" vertical="center"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73" fontId="8" fillId="0" borderId="1" xfId="0" applyFont="true" applyBorder="true" applyAlignment="true" applyProtection="false">
      <alignment horizontal="center" vertical="center" textRotation="0" wrapText="true" indent="0" shrinkToFit="false"/>
      <protection locked="true" hidden="false"/>
    </xf>
    <xf numFmtId="168" fontId="23" fillId="0" borderId="1" xfId="0" applyFont="true" applyBorder="true" applyAlignment="true" applyProtection="false">
      <alignment horizontal="center" vertical="center" textRotation="0" wrapText="true" indent="0" shrinkToFit="false"/>
      <protection locked="true" hidden="false"/>
    </xf>
    <xf numFmtId="174" fontId="23" fillId="0" borderId="1" xfId="0" applyFont="true" applyBorder="true" applyAlignment="true" applyProtection="false">
      <alignment horizontal="center" vertical="center" textRotation="0" wrapText="true" indent="0" shrinkToFit="false"/>
      <protection locked="true" hidden="false"/>
    </xf>
    <xf numFmtId="164" fontId="23" fillId="0" borderId="1" xfId="0" applyFont="true" applyBorder="true" applyAlignment="false" applyProtection="false">
      <alignment horizontal="general" vertical="bottom" textRotation="0" wrapText="false" indent="0" shrinkToFit="false"/>
      <protection locked="true" hidden="false"/>
    </xf>
    <xf numFmtId="175" fontId="23" fillId="0" borderId="1" xfId="0" applyFont="true" applyBorder="true" applyAlignment="false" applyProtection="false">
      <alignment horizontal="general" vertical="bottom" textRotation="0" wrapText="false" indent="0" shrinkToFit="false"/>
      <protection locked="true" hidden="false"/>
    </xf>
    <xf numFmtId="164" fontId="23" fillId="0" borderId="1" xfId="0" applyFont="true" applyBorder="true" applyAlignment="true" applyProtection="false">
      <alignment horizontal="center" vertical="center" textRotation="0" wrapText="true" indent="0" shrinkToFit="false"/>
      <protection locked="true" hidden="false"/>
    </xf>
    <xf numFmtId="170"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24" fillId="8" borderId="0" xfId="0" applyFont="true" applyBorder="true" applyAlignment="true" applyProtection="false">
      <alignment horizontal="left" vertical="top" textRotation="0" wrapText="true" indent="0" shrinkToFit="false"/>
      <protection locked="true" hidden="false"/>
    </xf>
    <xf numFmtId="172" fontId="8" fillId="0" borderId="1" xfId="0" applyFont="true" applyBorder="true" applyAlignment="true" applyProtection="false">
      <alignment horizontal="center" vertical="center" textRotation="0" wrapText="true" indent="0" shrinkToFit="false"/>
      <protection locked="true" hidden="false"/>
    </xf>
    <xf numFmtId="173" fontId="7" fillId="0" borderId="1" xfId="0" applyFont="true" applyBorder="true" applyAlignment="true" applyProtection="false">
      <alignment horizontal="center" vertical="center" textRotation="0" wrapText="true" indent="0" shrinkToFit="false"/>
      <protection locked="true" hidden="false"/>
    </xf>
    <xf numFmtId="170" fontId="9" fillId="3" borderId="1" xfId="0" applyFont="true" applyBorder="true" applyAlignment="true" applyProtection="false">
      <alignment horizontal="center" vertical="center" textRotation="0" wrapText="true" indent="0" shrinkToFit="false"/>
      <protection locked="true" hidden="false"/>
    </xf>
    <xf numFmtId="166" fontId="9" fillId="3" borderId="1" xfId="0" applyFont="true" applyBorder="true" applyAlignment="true" applyProtection="false">
      <alignment horizontal="center" vertical="center"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5" fontId="23" fillId="0" borderId="1" xfId="0" applyFont="true" applyBorder="true" applyAlignment="false" applyProtection="false">
      <alignment horizontal="general" vertical="bottom" textRotation="0" wrapText="false" indent="0" shrinkToFit="false"/>
      <protection locked="true" hidden="false"/>
    </xf>
    <xf numFmtId="176" fontId="8" fillId="0" borderId="1" xfId="0" applyFont="true" applyBorder="true" applyAlignment="true" applyProtection="false">
      <alignment horizontal="center" vertical="center" textRotation="0" wrapText="tru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center" vertical="center" textRotation="0" wrapText="true" indent="0" shrinkToFit="false"/>
      <protection locked="true" hidden="false"/>
    </xf>
    <xf numFmtId="170" fontId="8" fillId="0" borderId="1" xfId="0" applyFont="true" applyBorder="true" applyAlignment="true" applyProtection="false">
      <alignment horizontal="center" vertical="center" textRotation="0" wrapText="true" indent="0" shrinkToFit="false"/>
      <protection locked="true" hidden="false"/>
    </xf>
    <xf numFmtId="164" fontId="27" fillId="0" borderId="1" xfId="0" applyFont="true" applyBorder="true" applyAlignment="true" applyProtection="false">
      <alignment horizontal="left" vertical="center"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77" fontId="8"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2">
    <dxf>
      <fill>
        <patternFill patternType="solid">
          <fgColor rgb="FF262626"/>
          <bgColor rgb="FF000000"/>
        </patternFill>
      </fill>
    </dxf>
    <dxf>
      <fill>
        <patternFill patternType="solid">
          <fgColor rgb="FFF7F7F7"/>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9E5"/>
          <bgColor rgb="FF000000"/>
        </patternFill>
      </fill>
    </dxf>
    <dxf>
      <fill>
        <patternFill patternType="solid">
          <fgColor rgb="FF0000FF"/>
          <bgColor rgb="FF000000"/>
        </patternFill>
      </fill>
    </dxf>
    <dxf>
      <fill>
        <patternFill patternType="solid">
          <fgColor rgb="FFC65911"/>
          <bgColor rgb="FF000000"/>
        </patternFill>
      </fill>
    </dxf>
    <dxf>
      <fill>
        <patternFill>
          <bgColor rgb="FFF7F7F7"/>
        </patternFill>
      </fill>
    </dxf>
    <dxf>
      <fill>
        <patternFill>
          <bgColor rgb="FFDDEBF7"/>
        </patternFill>
      </fill>
    </dxf>
    <dxf>
      <fill>
        <patternFill>
          <bgColor rgb="FFE2EFDA"/>
        </patternFill>
      </fill>
    </dxf>
    <dxf>
      <font>
        <name val="Arial"/>
        <charset val="1"/>
        <family val="0"/>
        <i val="1"/>
        <color rgb="FFC65911"/>
        <sz val="9"/>
      </font>
    </dxf>
    <dxf>
      <font>
        <name val="Arial"/>
        <charset val="1"/>
        <family val="0"/>
        <b val="1"/>
        <color rgb="FF9C0006"/>
        <sz val="10"/>
      </font>
      <fill>
        <patternFill>
          <bgColor rgb="FFFFC7CE"/>
        </patternFill>
      </fill>
    </dxf>
    <dxf>
      <font>
        <name val="Arial"/>
        <charset val="1"/>
        <family val="0"/>
        <b val="1"/>
        <color rgb="FF006100"/>
      </font>
      <fill>
        <patternFill>
          <bgColor rgb="FFC6EFCE"/>
        </patternFill>
      </fill>
    </dxf>
    <dxf>
      <font>
        <name val="Arial"/>
        <charset val="1"/>
        <family val="0"/>
        <b val="1"/>
        <color rgb="FF9C0006"/>
      </font>
      <fill>
        <patternFill>
          <bgColor rgb="FFFFC7CE"/>
        </patternFill>
      </fill>
    </dxf>
    <dxf>
      <fill>
        <patternFill patternType="solid">
          <fgColor rgb="FFFFF2CC"/>
          <bgColor rgb="FF000000"/>
        </patternFill>
      </fill>
    </dxf>
    <dxf>
      <fill>
        <patternFill>
          <bgColor rgb="FFFFF2CC"/>
        </patternFill>
      </fill>
    </dxf>
    <dxf>
      <font>
        <name val="Arial"/>
        <charset val="1"/>
        <family val="0"/>
        <b val="1"/>
        <color rgb="FF006100"/>
        <sz val="10"/>
      </font>
      <fill>
        <patternFill>
          <bgColor rgb="FFC6EFCE"/>
        </patternFill>
      </fill>
    </dxf>
    <dxf>
      <font>
        <name val="Arial"/>
        <charset val="1"/>
        <family val="0"/>
        <b val="1"/>
        <color rgb="FF9C5700"/>
        <sz val="10"/>
      </font>
      <fill>
        <patternFill>
          <bgColor rgb="FFFFEB9C"/>
        </patternFill>
      </fill>
    </dxf>
    <dxf>
      <font>
        <name val="Arial"/>
        <charset val="1"/>
        <family val="0"/>
        <b val="1"/>
        <color rgb="FFC00000"/>
        <sz val="10"/>
      </font>
    </dxf>
    <dxf>
      <font>
        <name val="Arial"/>
        <charset val="1"/>
        <family val="0"/>
        <b val="1"/>
        <color rgb="FFC65911"/>
        <sz val="10"/>
      </font>
    </dxf>
    <dxf>
      <font>
        <name val="Arial"/>
        <charset val="1"/>
        <family val="0"/>
        <color rgb="FFFFFFFF"/>
        <sz val="8"/>
      </font>
    </dxf>
  </dxfs>
  <colors>
    <indexedColors>
      <rgbColor rgb="FF000000"/>
      <rgbColor rgb="FFFFFFFF"/>
      <rgbColor rgb="FFCC0000"/>
      <rgbColor rgb="FF00FF00"/>
      <rgbColor rgb="FF0000FF"/>
      <rgbColor rgb="FFFFF2CC"/>
      <rgbColor rgb="FFFF00FF"/>
      <rgbColor rgb="FF00FFFF"/>
      <rgbColor rgb="FF9C0006"/>
      <rgbColor rgb="FF006100"/>
      <rgbColor rgb="FF000080"/>
      <rgbColor rgb="FF548235"/>
      <rgbColor rgb="FF800080"/>
      <rgbColor rgb="FF008080"/>
      <rgbColor rgb="FFF2F2F2"/>
      <rgbColor rgb="FF878787"/>
      <rgbColor rgb="FF9999FF"/>
      <rgbColor rgb="FF9C5700"/>
      <rgbColor rgb="FFFFF9E5"/>
      <rgbColor rgb="FFDDEBF7"/>
      <rgbColor rgb="FF660066"/>
      <rgbColor rgb="FFFF8080"/>
      <rgbColor rgb="FF2F5597"/>
      <rgbColor rgb="FFD9D9D9"/>
      <rgbColor rgb="FF000080"/>
      <rgbColor rgb="FFFF00FF"/>
      <rgbColor rgb="FFFFFF00"/>
      <rgbColor rgb="FF00FFFF"/>
      <rgbColor rgb="FF800080"/>
      <rgbColor rgb="FFC00000"/>
      <rgbColor rgb="FF008080"/>
      <rgbColor rgb="FF0000FF"/>
      <rgbColor rgb="FF00CCFF"/>
      <rgbColor rgb="FFE2EFDA"/>
      <rgbColor rgb="FFC6EFCE"/>
      <rgbColor rgb="FFFFEB9C"/>
      <rgbColor rgb="FFF7F7F7"/>
      <rgbColor rgb="FFF7F9FC"/>
      <rgbColor rgb="FFCC99FF"/>
      <rgbColor rgb="FFFFC7CE"/>
      <rgbColor rgb="FF3366FF"/>
      <rgbColor rgb="FF33CCCC"/>
      <rgbColor rgb="FF99CC00"/>
      <rgbColor rgb="FFFFCC00"/>
      <rgbColor rgb="FFFF9900"/>
      <rgbColor rgb="FFC65911"/>
      <rgbColor rgb="FF595959"/>
      <rgbColor rgb="FF70AD47"/>
      <rgbColor rgb="FF003366"/>
      <rgbColor rgb="FF339966"/>
      <rgbColor rgb="FF003300"/>
      <rgbColor rgb="FF333300"/>
      <rgbColor rgb="FF7F1D1D"/>
      <rgbColor rgb="FFC55A11"/>
      <rgbColor rgb="FF1F4E7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Average score by sub-question (% of max)</a:t>
            </a:r>
          </a:p>
        </c:rich>
      </c:tx>
      <c:overlay val="0"/>
      <c:spPr>
        <a:noFill/>
        <a:ln w="0">
          <a:noFill/>
        </a:ln>
      </c:spPr>
    </c:title>
    <c:autoTitleDeleted val="0"/>
    <c:plotArea>
      <c:barChart>
        <c:barDir val="col"/>
        <c:grouping val="clustered"/>
        <c:varyColors val="1"/>
        <c:ser>
          <c:idx val="0"/>
          <c:order val="0"/>
          <c:tx>
            <c:strRef>
              <c:f>'Performance per Problem'!$E$4</c:f>
              <c:strCache>
                <c:ptCount val="1"/>
                <c:pt idx="0">
                  <c:v>Average %</c:v>
                </c:pt>
              </c:strCache>
            </c:strRef>
          </c:tx>
          <c:spPr>
            <a:solidFill>
              <a:srgbClr val="7f1d1d"/>
            </a:solidFill>
            <a:ln w="0">
              <a:noFill/>
            </a:ln>
          </c:spPr>
          <c:invertIfNegative val="0"/>
          <c:dPt>
            <c:idx val="0"/>
            <c:spPr>
              <a:solidFill>
                <a:srgbClr val="000000"/>
              </a:solidFill>
              <a:ln w="0">
                <a:noFill/>
              </a:ln>
            </c:spPr>
          </c:dPt>
          <c:dPt>
            <c:idx val="1"/>
            <c:spPr>
              <a:solidFill>
                <a:srgbClr val="000000"/>
              </a:solidFill>
              <a:ln w="0">
                <a:noFill/>
              </a:ln>
            </c:spPr>
          </c:dPt>
          <c:dPt>
            <c:idx val="2"/>
            <c:spPr>
              <a:solidFill>
                <a:srgbClr val="000000"/>
              </a:solidFill>
              <a:ln w="0">
                <a:noFill/>
              </a:ln>
            </c:spPr>
          </c:dPt>
          <c:dPt>
            <c:idx val="3"/>
            <c:spPr>
              <a:solidFill>
                <a:srgbClr val="000000"/>
              </a:solidFill>
              <a:ln w="0">
                <a:noFill/>
              </a:ln>
            </c:spPr>
          </c:dPt>
          <c:dPt>
            <c:idx val="4"/>
            <c:spPr>
              <a:solidFill>
                <a:srgbClr val="000000"/>
              </a:solidFill>
              <a:ln w="0">
                <a:noFill/>
              </a:ln>
            </c:spPr>
          </c:dPt>
          <c:dPt>
            <c:idx val="5"/>
            <c:spPr>
              <a:solidFill>
                <a:srgbClr val="000000"/>
              </a:solidFill>
              <a:ln w="0">
                <a:noFill/>
              </a:ln>
            </c:spPr>
          </c:dPt>
          <c:dPt>
            <c:idx val="6"/>
            <c:spPr>
              <a:solidFill>
                <a:srgbClr val="000000"/>
              </a:solidFill>
              <a:ln w="0">
                <a:noFill/>
              </a:ln>
            </c:spPr>
          </c:dPt>
          <c:dPt>
            <c:idx val="7"/>
            <c:spPr>
              <a:solidFill>
                <a:srgbClr val="000000"/>
              </a:solidFill>
              <a:ln w="0">
                <a:noFill/>
              </a:ln>
            </c:spPr>
          </c:dPt>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'Performance per Problem'!$A$5:$A$12</c:f>
              <c:strCache>
                <c:ptCount val="8"/>
                <c:pt idx="0">
                  <c:v>1.1</c:v>
                </c:pt>
                <c:pt idx="1">
                  <c:v>1.2 a</c:v>
                </c:pt>
                <c:pt idx="2">
                  <c:v>1.2 b</c:v>
                </c:pt>
                <c:pt idx="3">
                  <c:v>1.2 c</c:v>
                </c:pt>
                <c:pt idx="4">
                  <c:v>1.3</c:v>
                </c:pt>
                <c:pt idx="5">
                  <c:v>2.1</c:v>
                </c:pt>
                <c:pt idx="6">
                  <c:v>2.2</c:v>
                </c:pt>
                <c:pt idx="7">
                  <c:v>2.3</c:v>
                </c:pt>
              </c:strCache>
            </c:strRef>
          </c:cat>
          <c:val>
            <c:numRef>
              <c:f>'Performance per Problem'!$E$5:$E$12</c:f>
              <c:numCache>
                <c:formatCode>General</c:formatCode>
                <c:ptCount val="8"/>
              </c:numCache>
            </c:numRef>
          </c:val>
        </c:ser>
        <c:gapWidth val="150"/>
        <c:overlap val="0"/>
        <c:axId val="30789391"/>
        <c:axId val="79435830"/>
      </c:barChart>
      <c:catAx>
        <c:axId val="3078939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435830"/>
        <c:crosses val="autoZero"/>
        <c:auto val="1"/>
        <c:lblAlgn val="ctr"/>
        <c:lblOffset val="100"/>
        <c:noMultiLvlLbl val="0"/>
      </c:catAx>
      <c:valAx>
        <c:axId val="79435830"/>
        <c:scaling>
          <c:orientation val="minMax"/>
          <c:max val="1"/>
          <c:min val="0"/>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78939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Full marks vs. zeros by sub-question</a:t>
            </a:r>
          </a:p>
        </c:rich>
      </c:tx>
      <c:overlay val="0"/>
      <c:spPr>
        <a:noFill/>
        <a:ln w="0">
          <a:noFill/>
        </a:ln>
      </c:spPr>
    </c:title>
    <c:autoTitleDeleted val="0"/>
    <c:plotArea>
      <c:barChart>
        <c:barDir val="col"/>
        <c:grouping val="clustered"/>
        <c:varyColors val="0"/>
        <c:ser>
          <c:idx val="0"/>
          <c:order val="0"/>
          <c:tx>
            <c:strRef>
              <c:f>'Performance per Problem'!$K$4</c:f>
              <c:strCache>
                <c:ptCount val="1"/>
                <c:pt idx="0">
                  <c:v>% Full
Marks</c:v>
                </c:pt>
              </c:strCache>
            </c:strRef>
          </c:tx>
          <c:spPr>
            <a:solidFill>
              <a:srgbClr val="70ad47"/>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'Performance per Problem'!$A$5:$A$12</c:f>
              <c:strCache>
                <c:ptCount val="8"/>
                <c:pt idx="0">
                  <c:v>1.1</c:v>
                </c:pt>
                <c:pt idx="1">
                  <c:v>1.2 a</c:v>
                </c:pt>
                <c:pt idx="2">
                  <c:v>1.2 b</c:v>
                </c:pt>
                <c:pt idx="3">
                  <c:v>1.2 c</c:v>
                </c:pt>
                <c:pt idx="4">
                  <c:v>1.3</c:v>
                </c:pt>
                <c:pt idx="5">
                  <c:v>2.1</c:v>
                </c:pt>
                <c:pt idx="6">
                  <c:v>2.2</c:v>
                </c:pt>
                <c:pt idx="7">
                  <c:v>2.3</c:v>
                </c:pt>
              </c:strCache>
            </c:strRef>
          </c:cat>
          <c:val>
            <c:numRef>
              <c:f>'Performance per Problem'!$K$5:$K$12</c:f>
              <c:numCache>
                <c:formatCode>General</c:formatCode>
                <c:ptCount val="8"/>
              </c:numCache>
            </c:numRef>
          </c:val>
        </c:ser>
        <c:ser>
          <c:idx val="1"/>
          <c:order val="1"/>
          <c:tx>
            <c:strRef>
              <c:f>'Performance per Problem'!$M$4</c:f>
              <c:strCache>
                <c:ptCount val="1"/>
                <c:pt idx="0">
                  <c:v>% Zeros</c:v>
                </c:pt>
              </c:strCache>
            </c:strRef>
          </c:tx>
          <c:spPr>
            <a:solidFill>
              <a:srgbClr val="c00000"/>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'Performance per Problem'!$A$5:$A$12</c:f>
              <c:strCache>
                <c:ptCount val="8"/>
                <c:pt idx="0">
                  <c:v>1.1</c:v>
                </c:pt>
                <c:pt idx="1">
                  <c:v>1.2 a</c:v>
                </c:pt>
                <c:pt idx="2">
                  <c:v>1.2 b</c:v>
                </c:pt>
                <c:pt idx="3">
                  <c:v>1.2 c</c:v>
                </c:pt>
                <c:pt idx="4">
                  <c:v>1.3</c:v>
                </c:pt>
                <c:pt idx="5">
                  <c:v>2.1</c:v>
                </c:pt>
                <c:pt idx="6">
                  <c:v>2.2</c:v>
                </c:pt>
                <c:pt idx="7">
                  <c:v>2.3</c:v>
                </c:pt>
              </c:strCache>
            </c:strRef>
          </c:cat>
          <c:val>
            <c:numRef>
              <c:f>'Performance per Problem'!$M$5:$M$12</c:f>
              <c:numCache>
                <c:formatCode>General</c:formatCode>
                <c:ptCount val="8"/>
              </c:numCache>
            </c:numRef>
          </c:val>
        </c:ser>
        <c:gapWidth val="150"/>
        <c:overlap val="0"/>
        <c:axId val="51107981"/>
        <c:axId val="47565792"/>
      </c:barChart>
      <c:catAx>
        <c:axId val="5110798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565792"/>
        <c:crosses val="autoZero"/>
        <c:auto val="1"/>
        <c:lblAlgn val="ctr"/>
        <c:lblOffset val="100"/>
        <c:noMultiLvlLbl val="0"/>
      </c:catAx>
      <c:valAx>
        <c:axId val="47565792"/>
        <c:scaling>
          <c:orientation val="minMax"/>
          <c:min val="0"/>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107981"/>
        <c:crosses val="autoZero"/>
        <c:crossBetween val="between"/>
      </c:valAx>
      <c:spPr>
        <a:noFill/>
        <a:ln w="0">
          <a:noFill/>
        </a:ln>
      </c:spPr>
    </c:plotArea>
    <c:legend>
      <c:legendPos val="r"/>
      <c:overlay val="1"/>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Quiz 2 score distribution</a:t>
            </a:r>
          </a:p>
        </c:rich>
      </c:tx>
      <c:overlay val="0"/>
      <c:spPr>
        <a:noFill/>
        <a:ln w="0">
          <a:noFill/>
        </a:ln>
      </c:spPr>
    </c:title>
    <c:autoTitleDeleted val="0"/>
    <c:plotArea>
      <c:barChart>
        <c:barDir val="col"/>
        <c:grouping val="clustered"/>
        <c:varyColors val="1"/>
        <c:ser>
          <c:idx val="0"/>
          <c:order val="0"/>
          <c:tx>
            <c:strRef>
              <c:f>'Class Summary'!$D$17</c:f>
              <c:strCache>
                <c:ptCount val="1"/>
                <c:pt idx="0">
                  <c:v># Students</c:v>
                </c:pt>
              </c:strCache>
            </c:strRef>
          </c:tx>
          <c:spPr>
            <a:solidFill>
              <a:srgbClr val="7f1d1d"/>
            </a:solidFill>
            <a:ln w="0">
              <a:noFill/>
            </a:ln>
          </c:spPr>
          <c:invertIfNegative val="0"/>
          <c:dPt>
            <c:idx val="0"/>
            <c:spPr>
              <a:solidFill>
                <a:srgbClr val="000000"/>
              </a:solidFill>
              <a:ln w="0">
                <a:noFill/>
              </a:ln>
            </c:spPr>
          </c:dPt>
          <c:dPt>
            <c:idx val="1"/>
            <c:spPr>
              <a:solidFill>
                <a:srgbClr val="000000"/>
              </a:solidFill>
              <a:ln w="0">
                <a:noFill/>
              </a:ln>
            </c:spPr>
          </c:dPt>
          <c:dPt>
            <c:idx val="2"/>
            <c:spPr>
              <a:solidFill>
                <a:srgbClr val="000000"/>
              </a:solidFill>
              <a:ln w="0">
                <a:noFill/>
              </a:ln>
            </c:spPr>
          </c:dPt>
          <c:dPt>
            <c:idx val="3"/>
            <c:spPr>
              <a:solidFill>
                <a:srgbClr val="000000"/>
              </a:solidFill>
              <a:ln w="0">
                <a:noFill/>
              </a:ln>
            </c:spPr>
          </c:dPt>
          <c:dPt>
            <c:idx val="4"/>
            <c:spPr>
              <a:solidFill>
                <a:srgbClr val="000000"/>
              </a:solidFill>
              <a:ln w="0">
                <a:noFill/>
              </a:ln>
            </c:spPr>
          </c:dPt>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'Class Summary'!$A$18:$A$22</c:f>
              <c:strCache>
                <c:ptCount val="5"/>
                <c:pt idx="0">
                  <c:v>0–9</c:v>
                </c:pt>
                <c:pt idx="1">
                  <c:v>10–19</c:v>
                </c:pt>
                <c:pt idx="2">
                  <c:v>20–29</c:v>
                </c:pt>
                <c:pt idx="3">
                  <c:v>30–39</c:v>
                </c:pt>
                <c:pt idx="4">
                  <c:v>40–50</c:v>
                </c:pt>
              </c:strCache>
            </c:strRef>
          </c:cat>
          <c:val>
            <c:numRef>
              <c:f>'Class Summary'!$D$18:$D$22</c:f>
              <c:numCache>
                <c:formatCode>0</c:formatCode>
                <c:ptCount val="5"/>
                <c:pt idx="0">
                  <c:v>0</c:v>
                </c:pt>
                <c:pt idx="1">
                  <c:v>0</c:v>
                </c:pt>
                <c:pt idx="2">
                  <c:v>0</c:v>
                </c:pt>
                <c:pt idx="3">
                  <c:v>0</c:v>
                </c:pt>
                <c:pt idx="4">
                  <c:v>0</c:v>
                </c:pt>
              </c:numCache>
            </c:numRef>
          </c:val>
        </c:ser>
        <c:gapWidth val="150"/>
        <c:overlap val="0"/>
        <c:axId val="89307013"/>
        <c:axId val="64217943"/>
      </c:barChart>
      <c:catAx>
        <c:axId val="8930701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217943"/>
        <c:crosses val="autoZero"/>
        <c:auto val="1"/>
        <c:lblAlgn val="ctr"/>
        <c:lblOffset val="100"/>
        <c:noMultiLvlLbl val="0"/>
      </c:catAx>
      <c:valAx>
        <c:axId val="64217943"/>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30701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Quiz 2 totals: observed vs. Gaussian curve</a:t>
            </a:r>
          </a:p>
        </c:rich>
      </c:tx>
      <c:overlay val="0"/>
      <c:spPr>
        <a:noFill/>
        <a:ln w="0">
          <a:noFill/>
        </a:ln>
      </c:spPr>
    </c:title>
    <c:autoTitleDeleted val="0"/>
    <c:plotArea>
      <c:barChart>
        <c:barDir val="col"/>
        <c:grouping val="clustered"/>
        <c:varyColors val="0"/>
        <c:ser>
          <c:idx val="0"/>
          <c:order val="0"/>
          <c:tx>
            <c:strRef>
              <c:f>'Statistical Analysis'!$E$38</c:f>
              <c:strCache>
                <c:ptCount val="1"/>
                <c:pt idx="0">
                  <c:v>Observed students</c:v>
                </c:pt>
              </c:strCache>
            </c:strRef>
          </c:tx>
          <c:spPr>
            <a:solidFill>
              <a:srgbClr val="7f1d1d"/>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'Statistical Analysis'!$A$39:$A$48</c:f>
              <c:strCache>
                <c:ptCount val="10"/>
                <c:pt idx="0">
                  <c:v>0–5</c:v>
                </c:pt>
                <c:pt idx="1">
                  <c:v>5–10</c:v>
                </c:pt>
                <c:pt idx="2">
                  <c:v>10–15</c:v>
                </c:pt>
                <c:pt idx="3">
                  <c:v>15–20</c:v>
                </c:pt>
                <c:pt idx="4">
                  <c:v>20–25</c:v>
                </c:pt>
                <c:pt idx="5">
                  <c:v>25–30</c:v>
                </c:pt>
                <c:pt idx="6">
                  <c:v>30–35</c:v>
                </c:pt>
                <c:pt idx="7">
                  <c:v>35–40</c:v>
                </c:pt>
                <c:pt idx="8">
                  <c:v>40–45</c:v>
                </c:pt>
                <c:pt idx="9">
                  <c:v>45–50</c:v>
                </c:pt>
              </c:strCache>
            </c:strRef>
          </c:cat>
          <c:val>
            <c:numRef>
              <c:f>'Statistical Analysis'!$E$39:$E$48</c:f>
              <c:numCache>
                <c:formatCode>0</c:formatCode>
                <c:ptCount val="10"/>
                <c:pt idx="0">
                  <c:v>0</c:v>
                </c:pt>
                <c:pt idx="1">
                  <c:v>0</c:v>
                </c:pt>
                <c:pt idx="2">
                  <c:v>0</c:v>
                </c:pt>
                <c:pt idx="3">
                  <c:v>0</c:v>
                </c:pt>
                <c:pt idx="4">
                  <c:v>0</c:v>
                </c:pt>
                <c:pt idx="5">
                  <c:v>0</c:v>
                </c:pt>
                <c:pt idx="6">
                  <c:v>0</c:v>
                </c:pt>
                <c:pt idx="7">
                  <c:v>0</c:v>
                </c:pt>
                <c:pt idx="8">
                  <c:v>0</c:v>
                </c:pt>
                <c:pt idx="9">
                  <c:v>0</c:v>
                </c:pt>
              </c:numCache>
            </c:numRef>
          </c:val>
        </c:ser>
        <c:gapWidth val="20"/>
        <c:overlap val="0"/>
        <c:axId val="89710725"/>
        <c:axId val="5966147"/>
      </c:barChart>
      <c:lineChart>
        <c:grouping val="standard"/>
        <c:varyColors val="0"/>
        <c:ser>
          <c:idx val="1"/>
          <c:order val="1"/>
          <c:tx>
            <c:strRef>
              <c:f>'Statistical Analysis'!$F$38</c:f>
              <c:strCache>
                <c:ptCount val="1"/>
                <c:pt idx="0">
                  <c:v>Expected if Gaussian</c:v>
                </c:pt>
              </c:strCache>
            </c:strRef>
          </c:tx>
          <c:spPr>
            <a:solidFill>
              <a:srgbClr val="1f4e79"/>
            </a:solidFill>
            <a:ln w="28440">
              <a:solidFill>
                <a:srgbClr val="1f4e7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'Statistical Analysis'!$A$39:$A$48</c:f>
              <c:strCache>
                <c:ptCount val="10"/>
                <c:pt idx="0">
                  <c:v>0–5</c:v>
                </c:pt>
                <c:pt idx="1">
                  <c:v>5–10</c:v>
                </c:pt>
                <c:pt idx="2">
                  <c:v>10–15</c:v>
                </c:pt>
                <c:pt idx="3">
                  <c:v>15–20</c:v>
                </c:pt>
                <c:pt idx="4">
                  <c:v>20–25</c:v>
                </c:pt>
                <c:pt idx="5">
                  <c:v>25–30</c:v>
                </c:pt>
                <c:pt idx="6">
                  <c:v>30–35</c:v>
                </c:pt>
                <c:pt idx="7">
                  <c:v>35–40</c:v>
                </c:pt>
                <c:pt idx="8">
                  <c:v>40–45</c:v>
                </c:pt>
                <c:pt idx="9">
                  <c:v>45–50</c:v>
                </c:pt>
              </c:strCache>
            </c:strRef>
          </c:cat>
          <c:val>
            <c:numRef>
              <c:f>'Statistical Analysis'!$F$39:$F$48</c:f>
              <c:numCache>
                <c:formatCode>General</c:formatCode>
                <c:ptCount val="10"/>
              </c:numCache>
            </c:numRef>
          </c:val>
          <c:smooth val="1"/>
        </c:ser>
        <c:hiLowLines>
          <c:spPr>
            <a:ln w="0">
              <a:noFill/>
            </a:ln>
          </c:spPr>
        </c:hiLowLines>
        <c:marker val="0"/>
        <c:axId val="89710725"/>
        <c:axId val="5966147"/>
      </c:lineChart>
      <c:catAx>
        <c:axId val="89710725"/>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66147"/>
        <c:crosses val="autoZero"/>
        <c:auto val="1"/>
        <c:lblAlgn val="ctr"/>
        <c:lblOffset val="100"/>
        <c:noMultiLvlLbl val="0"/>
      </c:catAx>
      <c:valAx>
        <c:axId val="5966147"/>
        <c:scaling>
          <c:orientation val="minMax"/>
        </c:scaling>
        <c:delete val="0"/>
        <c:axPos val="l"/>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Students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710725"/>
        <c:crosses val="autoZero"/>
        <c:crossBetween val="between"/>
      </c:valAx>
      <c:spPr>
        <a:noFill/>
        <a:ln w="0">
          <a:noFill/>
        </a:ln>
      </c:spPr>
    </c:plotArea>
    <c:legend>
      <c:legendPos val="b"/>
      <c:layout>
        <c:manualLayout>
          <c:xMode val="edge"/>
          <c:yMode val="edge"/>
          <c:x val="0.0955766339869281"/>
          <c:y val="0.158210821869021"/>
          <c:w val="0.518323692810458"/>
          <c:h val="0.0634030992984752"/>
        </c:manualLayout>
      </c:layout>
      <c:overlay val="1"/>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Normal Q–Q plot (points on the line = Gaussian)</a:t>
            </a:r>
          </a:p>
        </c:rich>
      </c:tx>
      <c:overlay val="0"/>
      <c:spPr>
        <a:noFill/>
        <a:ln w="0">
          <a:noFill/>
        </a:ln>
      </c:spPr>
    </c:title>
    <c:autoTitleDeleted val="0"/>
    <c:plotArea>
      <c:scatterChart>
        <c:scatterStyle val="lineMarker"/>
        <c:varyColors val="0"/>
        <c:ser>
          <c:idx val="0"/>
          <c:order val="0"/>
          <c:tx>
            <c:strRef>
              <c:f>"Students"</c:f>
              <c:strCache>
                <c:ptCount val="1"/>
                <c:pt idx="0">
                  <c:v>Students</c:v>
                </c:pt>
              </c:strCache>
            </c:strRef>
          </c:tx>
          <c:spPr>
            <a:solidFill>
              <a:srgbClr val="7f1d1d"/>
            </a:solidFill>
            <a:ln w="28440">
              <a:noFill/>
            </a:ln>
          </c:spPr>
          <c:marker>
            <c:symbol val="circle"/>
            <c:size val="6"/>
            <c:spPr>
              <a:solidFill>
                <a:srgbClr val="7f1d1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'Statistical Analysis'!$T$15:$T$66</c:f>
              <c:numCache>
                <c:formatCode>0.0000</c:formatCode>
                <c:ptCount val="52"/>
              </c:numCache>
            </c:numRef>
          </c:xVal>
          <c:yVal>
            <c:numRef>
              <c:f>'Statistical Analysis'!$Q$15:$Q$66</c:f>
              <c:numCache>
                <c:formatCode>0</c:formatCode>
                <c:ptCount val="52"/>
              </c:numCache>
            </c:numRef>
          </c:yVal>
          <c:smooth val="1"/>
        </c:ser>
        <c:ser>
          <c:idx val="1"/>
          <c:order val="1"/>
          <c:tx>
            <c:strRef>
              <c:f>"Gaussian line"</c:f>
              <c:strCache>
                <c:ptCount val="1"/>
                <c:pt idx="0">
                  <c:v>Gaussian line</c:v>
                </c:pt>
              </c:strCache>
            </c:strRef>
          </c:tx>
          <c:spPr>
            <a:solidFill>
              <a:srgbClr val="1f4e79"/>
            </a:solidFill>
            <a:ln w="28440">
              <a:solidFill>
                <a:srgbClr val="1f4e7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'Statistical Analysis'!$Y$37:$Y$38</c:f>
              <c:numCache>
                <c:formatCode>0.0</c:formatCode>
                <c:ptCount val="2"/>
              </c:numCache>
            </c:numRef>
          </c:xVal>
          <c:yVal>
            <c:numRef>
              <c:f>'Statistical Analysis'!$Z$37:$Z$38</c:f>
              <c:numCache>
                <c:formatCode>0.0</c:formatCode>
                <c:ptCount val="2"/>
              </c:numCache>
            </c:numRef>
          </c:yVal>
          <c:smooth val="1"/>
        </c:ser>
        <c:axId val="55453638"/>
        <c:axId val="56372337"/>
      </c:scatterChart>
      <c:valAx>
        <c:axId val="55453638"/>
        <c:scaling>
          <c:orientation val="minMax"/>
          <c:max val="60"/>
          <c:min val="0"/>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Score expected if Gaussian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372337"/>
        <c:crosses val="autoZero"/>
        <c:crossBetween val="midCat"/>
      </c:valAx>
      <c:valAx>
        <c:axId val="56372337"/>
        <c:scaling>
          <c:orientation val="minMax"/>
          <c:max val="55"/>
          <c:min val="0"/>
        </c:scaling>
        <c:delete val="0"/>
        <c:axPos val="l"/>
        <c:majorGridlines>
          <c:spPr>
            <a:ln w="9360">
              <a:solidFill>
                <a:srgbClr val="878787"/>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Actual score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453638"/>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drawings/_rels/drawing3.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4.xml.rels><?xml version="1.0" encoding="UTF-8"?>
<Relationships xmlns="http://schemas.openxmlformats.org/package/2006/relationships"><Relationship Id="rId1" Type="http://schemas.openxmlformats.org/officeDocument/2006/relationships/chart" Target="../charts/chart3.xml"/>
</Relationships>
</file>

<file path=xl/drawings/_rels/drawing5.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0</xdr:rowOff>
    </xdr:from>
    <xdr:to>
      <xdr:col>7</xdr:col>
      <xdr:colOff>176040</xdr:colOff>
      <xdr:row>31</xdr:row>
      <xdr:rowOff>165960</xdr:rowOff>
    </xdr:to>
    <xdr:graphicFrame>
      <xdr:nvGraphicFramePr>
        <xdr:cNvPr id="0" name="Chart 1"/>
        <xdr:cNvGraphicFramePr/>
      </xdr:nvGraphicFramePr>
      <xdr:xfrm>
        <a:off x="0" y="3666960"/>
        <a:ext cx="50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17</xdr:row>
      <xdr:rowOff>0</xdr:rowOff>
    </xdr:from>
    <xdr:to>
      <xdr:col>15</xdr:col>
      <xdr:colOff>1444680</xdr:colOff>
      <xdr:row>31</xdr:row>
      <xdr:rowOff>165960</xdr:rowOff>
    </xdr:to>
    <xdr:graphicFrame>
      <xdr:nvGraphicFramePr>
        <xdr:cNvPr id="1" name="Chart 2"/>
        <xdr:cNvGraphicFramePr/>
      </xdr:nvGraphicFramePr>
      <xdr:xfrm>
        <a:off x="5991120" y="3666960"/>
        <a:ext cx="503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11</xdr:row>
      <xdr:rowOff>0</xdr:rowOff>
    </xdr:from>
    <xdr:to>
      <xdr:col>11</xdr:col>
      <xdr:colOff>378360</xdr:colOff>
      <xdr:row>24</xdr:row>
      <xdr:rowOff>5040</xdr:rowOff>
    </xdr:to>
    <xdr:graphicFrame>
      <xdr:nvGraphicFramePr>
        <xdr:cNvPr id="2" name="Chart 1"/>
        <xdr:cNvGraphicFramePr/>
      </xdr:nvGraphicFramePr>
      <xdr:xfrm>
        <a:off x="5920920" y="2523960"/>
        <a:ext cx="46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36</xdr:row>
      <xdr:rowOff>0</xdr:rowOff>
    </xdr:from>
    <xdr:to>
      <xdr:col>13</xdr:col>
      <xdr:colOff>621720</xdr:colOff>
      <xdr:row>54</xdr:row>
      <xdr:rowOff>68760</xdr:rowOff>
    </xdr:to>
    <xdr:graphicFrame>
      <xdr:nvGraphicFramePr>
        <xdr:cNvPr id="3" name="Chart 1"/>
        <xdr:cNvGraphicFramePr/>
      </xdr:nvGraphicFramePr>
      <xdr:xfrm>
        <a:off x="9444960" y="10220400"/>
        <a:ext cx="6119640" cy="3621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54</xdr:row>
      <xdr:rowOff>0</xdr:rowOff>
    </xdr:from>
    <xdr:to>
      <xdr:col>12</xdr:col>
      <xdr:colOff>591480</xdr:colOff>
      <xdr:row>68</xdr:row>
      <xdr:rowOff>135720</xdr:rowOff>
    </xdr:to>
    <xdr:graphicFrame>
      <xdr:nvGraphicFramePr>
        <xdr:cNvPr id="4" name="Chart 2"/>
        <xdr:cNvGraphicFramePr/>
      </xdr:nvGraphicFramePr>
      <xdr:xfrm>
        <a:off x="9444960" y="13773240"/>
        <a:ext cx="467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62626"/>
    <pageSetUpPr fitToPage="true"/>
  </sheetPr>
  <dimension ref="A1:F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0" width="26"/>
    <col collapsed="false" customWidth="true" hidden="false" outlineLevel="0" max="2" min="2" style="0" width="74"/>
    <col collapsed="false" customWidth="true" hidden="false" outlineLevel="0" max="6" min="3" style="0" width="4"/>
  </cols>
  <sheetData>
    <row r="1" customFormat="false" ht="30" hidden="false" customHeight="true" outlineLevel="0" collapsed="false">
      <c r="A1" s="1" t="s">
        <v>0</v>
      </c>
      <c r="B1" s="1"/>
      <c r="C1" s="1"/>
      <c r="D1" s="1"/>
      <c r="E1" s="1"/>
      <c r="F1" s="1"/>
    </row>
    <row r="2" customFormat="false" ht="27.75" hidden="false" customHeight="true" outlineLevel="0" collapsed="false">
      <c r="A2" s="2" t="s">
        <v>1</v>
      </c>
      <c r="B2" s="2"/>
      <c r="C2" s="2"/>
      <c r="D2" s="2"/>
      <c r="E2" s="2"/>
      <c r="F2" s="2"/>
    </row>
    <row r="4" customFormat="false" ht="21.75" hidden="false" customHeight="true" outlineLevel="0" collapsed="false">
      <c r="A4" s="3" t="s">
        <v>2</v>
      </c>
      <c r="B4" s="3"/>
    </row>
    <row r="5" customFormat="false" ht="30" hidden="false" customHeight="true" outlineLevel="0" collapsed="false">
      <c r="A5" s="4" t="s">
        <v>3</v>
      </c>
      <c r="B5" s="5" t="s">
        <v>4</v>
      </c>
    </row>
    <row r="6" customFormat="false" ht="30" hidden="false" customHeight="true" outlineLevel="0" collapsed="false">
      <c r="A6" s="4" t="s">
        <v>5</v>
      </c>
      <c r="B6" s="5" t="s">
        <v>6</v>
      </c>
    </row>
    <row r="7" customFormat="false" ht="30" hidden="false" customHeight="true" outlineLevel="0" collapsed="false">
      <c r="A7" s="4" t="s">
        <v>7</v>
      </c>
      <c r="B7" s="5" t="s">
        <v>8</v>
      </c>
    </row>
    <row r="8" customFormat="false" ht="42.75" hidden="false" customHeight="true" outlineLevel="0" collapsed="false">
      <c r="A8" s="4" t="s">
        <v>9</v>
      </c>
      <c r="B8" s="5" t="s">
        <v>10</v>
      </c>
    </row>
    <row r="9" customFormat="false" ht="30" hidden="false" customHeight="true" outlineLevel="0" collapsed="false">
      <c r="A9" s="4" t="s">
        <v>11</v>
      </c>
      <c r="B9" s="5" t="s">
        <v>12</v>
      </c>
    </row>
    <row r="10" customFormat="false" ht="30" hidden="false" customHeight="true" outlineLevel="0" collapsed="false">
      <c r="A10" s="4" t="s">
        <v>13</v>
      </c>
      <c r="B10" s="5" t="s">
        <v>14</v>
      </c>
    </row>
    <row r="11" customFormat="false" ht="68.25" hidden="false" customHeight="true" outlineLevel="0" collapsed="false">
      <c r="A11" s="4" t="s">
        <v>15</v>
      </c>
      <c r="B11" s="5" t="s">
        <v>16</v>
      </c>
    </row>
    <row r="13" customFormat="false" ht="21.75" hidden="false" customHeight="true" outlineLevel="0" collapsed="false">
      <c r="A13" s="3" t="s">
        <v>17</v>
      </c>
      <c r="B13" s="3"/>
    </row>
    <row r="14" customFormat="false" ht="17.25" hidden="false" customHeight="true" outlineLevel="0" collapsed="false">
      <c r="A14" s="6" t="s">
        <v>18</v>
      </c>
      <c r="B14" s="5" t="s">
        <v>19</v>
      </c>
    </row>
    <row r="15" customFormat="false" ht="17.25" hidden="false" customHeight="true" outlineLevel="0" collapsed="false">
      <c r="A15" s="7" t="s">
        <v>20</v>
      </c>
      <c r="B15" s="5" t="s">
        <v>21</v>
      </c>
    </row>
    <row r="16" customFormat="false" ht="17.25" hidden="false" customHeight="true" outlineLevel="0" collapsed="false">
      <c r="A16" s="8" t="s">
        <v>22</v>
      </c>
      <c r="B16" s="5" t="s">
        <v>23</v>
      </c>
    </row>
    <row r="17" customFormat="false" ht="30" hidden="false" customHeight="true" outlineLevel="0" collapsed="false">
      <c r="A17" s="9" t="s">
        <v>24</v>
      </c>
      <c r="B17" s="5" t="s">
        <v>25</v>
      </c>
    </row>
    <row r="18" customFormat="false" ht="17.25" hidden="false" customHeight="true" outlineLevel="0" collapsed="false">
      <c r="A18" s="10" t="s">
        <v>26</v>
      </c>
      <c r="B18" s="5" t="s">
        <v>27</v>
      </c>
    </row>
    <row r="20" customFormat="false" ht="21.75" hidden="false" customHeight="true" outlineLevel="0" collapsed="false">
      <c r="A20" s="3" t="s">
        <v>28</v>
      </c>
      <c r="B20" s="3"/>
    </row>
    <row r="21" customFormat="false" ht="30" hidden="false" customHeight="true" outlineLevel="0" collapsed="false">
      <c r="A21" s="4" t="s">
        <v>29</v>
      </c>
      <c r="B21" s="5" t="s">
        <v>30</v>
      </c>
    </row>
    <row r="22" customFormat="false" ht="42.75" hidden="false" customHeight="true" outlineLevel="0" collapsed="false">
      <c r="A22" s="4" t="s">
        <v>31</v>
      </c>
      <c r="B22" s="5" t="s">
        <v>32</v>
      </c>
    </row>
    <row r="23" customFormat="false" ht="42.75" hidden="false" customHeight="true" outlineLevel="0" collapsed="false">
      <c r="A23" s="4" t="s">
        <v>33</v>
      </c>
      <c r="B23" s="5" t="s">
        <v>34</v>
      </c>
    </row>
    <row r="24" customFormat="false" ht="42.75" hidden="false" customHeight="true" outlineLevel="0" collapsed="false">
      <c r="A24" s="4" t="s">
        <v>35</v>
      </c>
      <c r="B24" s="5" t="s">
        <v>36</v>
      </c>
    </row>
    <row r="25" customFormat="false" ht="30" hidden="false" customHeight="true" outlineLevel="0" collapsed="false">
      <c r="A25" s="4" t="s">
        <v>37</v>
      </c>
      <c r="B25" s="5" t="s">
        <v>38</v>
      </c>
    </row>
    <row r="26" customFormat="false" ht="42.75" hidden="false" customHeight="true" outlineLevel="0" collapsed="false">
      <c r="A26" s="4" t="s">
        <v>39</v>
      </c>
      <c r="B26" s="5" t="s">
        <v>40</v>
      </c>
    </row>
    <row r="28" customFormat="false" ht="21.75" hidden="false" customHeight="true" outlineLevel="0" collapsed="false">
      <c r="A28" s="3" t="s">
        <v>41</v>
      </c>
      <c r="B28" s="3"/>
    </row>
    <row r="29" customFormat="false" ht="55.5" hidden="false" customHeight="true" outlineLevel="0" collapsed="false">
      <c r="A29" s="4" t="s">
        <v>42</v>
      </c>
      <c r="B29" s="5" t="s">
        <v>43</v>
      </c>
    </row>
    <row r="30" customFormat="false" ht="55.5" hidden="false" customHeight="true" outlineLevel="0" collapsed="false">
      <c r="A30" s="4" t="s">
        <v>44</v>
      </c>
      <c r="B30" s="5" t="s">
        <v>45</v>
      </c>
    </row>
    <row r="31" customFormat="false" ht="42" hidden="false" customHeight="true" outlineLevel="0" collapsed="false">
      <c r="A31" s="4" t="s">
        <v>46</v>
      </c>
      <c r="B31" s="5" t="s">
        <v>47</v>
      </c>
    </row>
    <row r="32" customFormat="false" ht="42" hidden="false" customHeight="true" outlineLevel="0" collapsed="false">
      <c r="A32" s="4" t="s">
        <v>48</v>
      </c>
      <c r="B32" s="5" t="s">
        <v>49</v>
      </c>
    </row>
    <row r="33" customFormat="false" ht="30" hidden="false" customHeight="true" outlineLevel="0" collapsed="false">
      <c r="A33" s="4" t="s">
        <v>50</v>
      </c>
      <c r="B33" s="5" t="s">
        <v>51</v>
      </c>
    </row>
  </sheetData>
  <mergeCells count="6">
    <mergeCell ref="A1:F1"/>
    <mergeCell ref="A2:F2"/>
    <mergeCell ref="A4:B4"/>
    <mergeCell ref="A13:B13"/>
    <mergeCell ref="A20:B20"/>
    <mergeCell ref="A28:B28"/>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H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4.25" zeroHeight="false" outlineLevelRow="0" outlineLevelCol="0"/>
  <cols>
    <col collapsed="false" customWidth="true" hidden="false" outlineLevel="0" max="1" min="1" style="0" width="5"/>
    <col collapsed="false" customWidth="true" hidden="false" outlineLevel="0" max="3" min="2" style="0" width="16"/>
    <col collapsed="false" customWidth="true" hidden="false" outlineLevel="0" max="4" min="4" style="0" width="24"/>
    <col collapsed="false" customWidth="true" hidden="false" outlineLevel="0" max="5" min="5" style="0" width="9"/>
    <col collapsed="false" customWidth="true" hidden="false" outlineLevel="0" max="6" min="6" style="0" width="24"/>
    <col collapsed="false" customWidth="true" hidden="false" outlineLevel="0" max="7" min="7" style="0" width="11"/>
    <col collapsed="false" customWidth="true" hidden="false" outlineLevel="0" max="8" min="8" style="0" width="9"/>
  </cols>
  <sheetData>
    <row r="1" customFormat="false" ht="30" hidden="false" customHeight="true" outlineLevel="0" collapsed="false">
      <c r="A1" s="1" t="s">
        <v>52</v>
      </c>
      <c r="B1" s="1"/>
      <c r="C1" s="1"/>
      <c r="D1" s="1"/>
      <c r="E1" s="1"/>
      <c r="F1" s="1"/>
      <c r="G1" s="1"/>
      <c r="H1" s="1"/>
    </row>
    <row r="2" customFormat="false" ht="27.75" hidden="false" customHeight="true" outlineLevel="0" collapsed="false">
      <c r="A2" s="2" t="s">
        <v>53</v>
      </c>
      <c r="B2" s="2"/>
      <c r="C2" s="2"/>
      <c r="D2" s="2"/>
      <c r="E2" s="2"/>
      <c r="F2" s="2"/>
      <c r="G2" s="2"/>
      <c r="H2" s="2"/>
    </row>
    <row r="4" customFormat="false" ht="31.5" hidden="false" customHeight="true" outlineLevel="0" collapsed="false">
      <c r="A4" s="11" t="s">
        <v>54</v>
      </c>
      <c r="B4" s="11" t="s">
        <v>55</v>
      </c>
      <c r="C4" s="11" t="s">
        <v>56</v>
      </c>
      <c r="D4" s="11" t="s">
        <v>57</v>
      </c>
      <c r="E4" s="11" t="s">
        <v>58</v>
      </c>
      <c r="F4" s="11" t="s">
        <v>59</v>
      </c>
      <c r="G4" s="11" t="s">
        <v>60</v>
      </c>
      <c r="H4" s="11" t="s">
        <v>61</v>
      </c>
    </row>
    <row r="5" customFormat="false" ht="14.25" hidden="false" customHeight="false" outlineLevel="0" collapsed="false">
      <c r="A5" s="12" t="n">
        <v>1</v>
      </c>
      <c r="B5" s="7" t="s">
        <v>62</v>
      </c>
      <c r="C5" s="7" t="s">
        <v>63</v>
      </c>
      <c r="D5" s="7" t="str">
        <f aca="false">TRIM(C5&amp;" "&amp;B5)</f>
        <v>David Abagwe</v>
      </c>
      <c r="E5" s="13"/>
      <c r="F5" s="7" t="str">
        <f aca="false">IF(E5="","Unassigned",IFERROR(IF(INDEX(Groups!$B$5:$B$17,MATCH(E5,Groups!$A$5:$A$17,0))="","Track not set",INDEX(Groups!$B$5:$B$17,MATCH(E5,Groups!$A$5:$A$17,0))),"Group not in table"))</f>
        <v>Unassigned</v>
      </c>
      <c r="G5" s="14" t="str">
        <f aca="false">IFERROR(IF(INDEX('Quiz 2 Grades'!$Q$7:$Q$58,MATCH($A5,'Quiz 2 Grades'!$A$7:$A$58,0))="Graded",INDEX('Quiz 2 Grades'!$M$7:$M$58,MATCH($A5,'Quiz 2 Grades'!$A$7:$A$58,0)),INDEX('Quiz 2 Grades'!$Q$7:$Q$58,MATCH($A5,'Quiz 2 Grades'!$A$7:$A$58,0))),"")</f>
        <v>Missing</v>
      </c>
      <c r="H5" s="15" t="str">
        <f aca="false">IF(ISNUMBER(G5),G5/'Quiz 2 Grades'!$M$5,"")</f>
        <v/>
      </c>
    </row>
    <row r="6" customFormat="false" ht="14.25" hidden="false" customHeight="false" outlineLevel="0" collapsed="false">
      <c r="A6" s="12" t="n">
        <v>2</v>
      </c>
      <c r="B6" s="7" t="s">
        <v>64</v>
      </c>
      <c r="C6" s="7" t="s">
        <v>65</v>
      </c>
      <c r="D6" s="7" t="str">
        <f aca="false">TRIM(C6&amp;" "&amp;B6)</f>
        <v>Sonu Acharya</v>
      </c>
      <c r="E6" s="13"/>
      <c r="F6" s="7" t="str">
        <f aca="false">IF(E6="","Unassigned",IFERROR(IF(INDEX(Groups!$B$5:$B$17,MATCH(E6,Groups!$A$5:$A$17,0))="","Track not set",INDEX(Groups!$B$5:$B$17,MATCH(E6,Groups!$A$5:$A$17,0))),"Group not in table"))</f>
        <v>Unassigned</v>
      </c>
      <c r="G6" s="14" t="str">
        <f aca="false">IFERROR(IF(INDEX('Quiz 2 Grades'!$Q$7:$Q$58,MATCH($A6,'Quiz 2 Grades'!$A$7:$A$58,0))="Graded",INDEX('Quiz 2 Grades'!$M$7:$M$58,MATCH($A6,'Quiz 2 Grades'!$A$7:$A$58,0)),INDEX('Quiz 2 Grades'!$Q$7:$Q$58,MATCH($A6,'Quiz 2 Grades'!$A$7:$A$58,0))),"")</f>
        <v>Missing</v>
      </c>
      <c r="H6" s="15" t="str">
        <f aca="false">IF(ISNUMBER(G6),G6/'Quiz 2 Grades'!$M$5,"")</f>
        <v/>
      </c>
    </row>
    <row r="7" customFormat="false" ht="14.25" hidden="false" customHeight="false" outlineLevel="0" collapsed="false">
      <c r="A7" s="12" t="n">
        <v>3</v>
      </c>
      <c r="B7" s="7" t="s">
        <v>66</v>
      </c>
      <c r="C7" s="7" t="s">
        <v>67</v>
      </c>
      <c r="D7" s="7" t="str">
        <f aca="false">TRIM(C7&amp;" "&amp;B7)</f>
        <v>Ashton Adams</v>
      </c>
      <c r="E7" s="13"/>
      <c r="F7" s="7" t="str">
        <f aca="false">IF(E7="","Unassigned",IFERROR(IF(INDEX(Groups!$B$5:$B$17,MATCH(E7,Groups!$A$5:$A$17,0))="","Track not set",INDEX(Groups!$B$5:$B$17,MATCH(E7,Groups!$A$5:$A$17,0))),"Group not in table"))</f>
        <v>Unassigned</v>
      </c>
      <c r="G7" s="14" t="str">
        <f aca="false">IFERROR(IF(INDEX('Quiz 2 Grades'!$Q$7:$Q$58,MATCH($A7,'Quiz 2 Grades'!$A$7:$A$58,0))="Graded",INDEX('Quiz 2 Grades'!$M$7:$M$58,MATCH($A7,'Quiz 2 Grades'!$A$7:$A$58,0)),INDEX('Quiz 2 Grades'!$Q$7:$Q$58,MATCH($A7,'Quiz 2 Grades'!$A$7:$A$58,0))),"")</f>
        <v>Missing</v>
      </c>
      <c r="H7" s="15" t="str">
        <f aca="false">IF(ISNUMBER(G7),G7/'Quiz 2 Grades'!$M$5,"")</f>
        <v/>
      </c>
    </row>
    <row r="8" customFormat="false" ht="14.25" hidden="false" customHeight="false" outlineLevel="0" collapsed="false">
      <c r="A8" s="12" t="n">
        <v>4</v>
      </c>
      <c r="B8" s="7" t="s">
        <v>68</v>
      </c>
      <c r="C8" s="7" t="s">
        <v>69</v>
      </c>
      <c r="D8" s="7" t="str">
        <f aca="false">TRIM(C8&amp;" "&amp;B8)</f>
        <v>Hayden Albert</v>
      </c>
      <c r="E8" s="13"/>
      <c r="F8" s="7" t="str">
        <f aca="false">IF(E8="","Unassigned",IFERROR(IF(INDEX(Groups!$B$5:$B$17,MATCH(E8,Groups!$A$5:$A$17,0))="","Track not set",INDEX(Groups!$B$5:$B$17,MATCH(E8,Groups!$A$5:$A$17,0))),"Group not in table"))</f>
        <v>Unassigned</v>
      </c>
      <c r="G8" s="14" t="str">
        <f aca="false">IFERROR(IF(INDEX('Quiz 2 Grades'!$Q$7:$Q$58,MATCH($A8,'Quiz 2 Grades'!$A$7:$A$58,0))="Graded",INDEX('Quiz 2 Grades'!$M$7:$M$58,MATCH($A8,'Quiz 2 Grades'!$A$7:$A$58,0)),INDEX('Quiz 2 Grades'!$Q$7:$Q$58,MATCH($A8,'Quiz 2 Grades'!$A$7:$A$58,0))),"")</f>
        <v>Missing</v>
      </c>
      <c r="H8" s="15" t="str">
        <f aca="false">IF(ISNUMBER(G8),G8/'Quiz 2 Grades'!$M$5,"")</f>
        <v/>
      </c>
    </row>
    <row r="9" customFormat="false" ht="14.25" hidden="false" customHeight="false" outlineLevel="0" collapsed="false">
      <c r="A9" s="12" t="n">
        <v>5</v>
      </c>
      <c r="B9" s="7" t="s">
        <v>70</v>
      </c>
      <c r="C9" s="7" t="s">
        <v>71</v>
      </c>
      <c r="D9" s="7" t="str">
        <f aca="false">TRIM(C9&amp;" "&amp;B9)</f>
        <v>Lani Allen</v>
      </c>
      <c r="E9" s="13"/>
      <c r="F9" s="7" t="str">
        <f aca="false">IF(E9="","Unassigned",IFERROR(IF(INDEX(Groups!$B$5:$B$17,MATCH(E9,Groups!$A$5:$A$17,0))="","Track not set",INDEX(Groups!$B$5:$B$17,MATCH(E9,Groups!$A$5:$A$17,0))),"Group not in table"))</f>
        <v>Unassigned</v>
      </c>
      <c r="G9" s="14" t="str">
        <f aca="false">IFERROR(IF(INDEX('Quiz 2 Grades'!$Q$7:$Q$58,MATCH($A9,'Quiz 2 Grades'!$A$7:$A$58,0))="Graded",INDEX('Quiz 2 Grades'!$M$7:$M$58,MATCH($A9,'Quiz 2 Grades'!$A$7:$A$58,0)),INDEX('Quiz 2 Grades'!$Q$7:$Q$58,MATCH($A9,'Quiz 2 Grades'!$A$7:$A$58,0))),"")</f>
        <v>Missing</v>
      </c>
      <c r="H9" s="15" t="str">
        <f aca="false">IF(ISNUMBER(G9),G9/'Quiz 2 Grades'!$M$5,"")</f>
        <v/>
      </c>
    </row>
    <row r="10" customFormat="false" ht="14.25" hidden="false" customHeight="false" outlineLevel="0" collapsed="false">
      <c r="A10" s="12" t="n">
        <v>6</v>
      </c>
      <c r="B10" s="7" t="s">
        <v>72</v>
      </c>
      <c r="C10" s="7" t="s">
        <v>73</v>
      </c>
      <c r="D10" s="7" t="str">
        <f aca="false">TRIM(C10&amp;" "&amp;B10)</f>
        <v>John David Andrade</v>
      </c>
      <c r="E10" s="13"/>
      <c r="F10" s="7" t="str">
        <f aca="false">IF(E10="","Unassigned",IFERROR(IF(INDEX(Groups!$B$5:$B$17,MATCH(E10,Groups!$A$5:$A$17,0))="","Track not set",INDEX(Groups!$B$5:$B$17,MATCH(E10,Groups!$A$5:$A$17,0))),"Group not in table"))</f>
        <v>Unassigned</v>
      </c>
      <c r="G10" s="14" t="str">
        <f aca="false">IFERROR(IF(INDEX('Quiz 2 Grades'!$Q$7:$Q$58,MATCH($A10,'Quiz 2 Grades'!$A$7:$A$58,0))="Graded",INDEX('Quiz 2 Grades'!$M$7:$M$58,MATCH($A10,'Quiz 2 Grades'!$A$7:$A$58,0)),INDEX('Quiz 2 Grades'!$Q$7:$Q$58,MATCH($A10,'Quiz 2 Grades'!$A$7:$A$58,0))),"")</f>
        <v>Missing</v>
      </c>
      <c r="H10" s="15" t="str">
        <f aca="false">IF(ISNUMBER(G10),G10/'Quiz 2 Grades'!$M$5,"")</f>
        <v/>
      </c>
    </row>
    <row r="11" customFormat="false" ht="14.25" hidden="false" customHeight="false" outlineLevel="0" collapsed="false">
      <c r="A11" s="12" t="n">
        <v>7</v>
      </c>
      <c r="B11" s="7" t="s">
        <v>74</v>
      </c>
      <c r="C11" s="7" t="s">
        <v>75</v>
      </c>
      <c r="D11" s="7" t="str">
        <f aca="false">TRIM(C11&amp;" "&amp;B11)</f>
        <v>Landon Atkins</v>
      </c>
      <c r="E11" s="13"/>
      <c r="F11" s="7" t="str">
        <f aca="false">IF(E11="","Unassigned",IFERROR(IF(INDEX(Groups!$B$5:$B$17,MATCH(E11,Groups!$A$5:$A$17,0))="","Track not set",INDEX(Groups!$B$5:$B$17,MATCH(E11,Groups!$A$5:$A$17,0))),"Group not in table"))</f>
        <v>Unassigned</v>
      </c>
      <c r="G11" s="14" t="str">
        <f aca="false">IFERROR(IF(INDEX('Quiz 2 Grades'!$Q$7:$Q$58,MATCH($A11,'Quiz 2 Grades'!$A$7:$A$58,0))="Graded",INDEX('Quiz 2 Grades'!$M$7:$M$58,MATCH($A11,'Quiz 2 Grades'!$A$7:$A$58,0)),INDEX('Quiz 2 Grades'!$Q$7:$Q$58,MATCH($A11,'Quiz 2 Grades'!$A$7:$A$58,0))),"")</f>
        <v>Missing</v>
      </c>
      <c r="H11" s="15" t="str">
        <f aca="false">IF(ISNUMBER(G11),G11/'Quiz 2 Grades'!$M$5,"")</f>
        <v/>
      </c>
    </row>
    <row r="12" customFormat="false" ht="14.25" hidden="false" customHeight="false" outlineLevel="0" collapsed="false">
      <c r="A12" s="12" t="n">
        <v>8</v>
      </c>
      <c r="B12" s="7" t="s">
        <v>76</v>
      </c>
      <c r="C12" s="7" t="s">
        <v>77</v>
      </c>
      <c r="D12" s="7" t="str">
        <f aca="false">TRIM(C12&amp;" "&amp;B12)</f>
        <v>Ryan Borkland</v>
      </c>
      <c r="E12" s="13"/>
      <c r="F12" s="7" t="str">
        <f aca="false">IF(E12="","Unassigned",IFERROR(IF(INDEX(Groups!$B$5:$B$17,MATCH(E12,Groups!$A$5:$A$17,0))="","Track not set",INDEX(Groups!$B$5:$B$17,MATCH(E12,Groups!$A$5:$A$17,0))),"Group not in table"))</f>
        <v>Unassigned</v>
      </c>
      <c r="G12" s="14" t="str">
        <f aca="false">IFERROR(IF(INDEX('Quiz 2 Grades'!$Q$7:$Q$58,MATCH($A12,'Quiz 2 Grades'!$A$7:$A$58,0))="Graded",INDEX('Quiz 2 Grades'!$M$7:$M$58,MATCH($A12,'Quiz 2 Grades'!$A$7:$A$58,0)),INDEX('Quiz 2 Grades'!$Q$7:$Q$58,MATCH($A12,'Quiz 2 Grades'!$A$7:$A$58,0))),"")</f>
        <v>Missing</v>
      </c>
      <c r="H12" s="15" t="str">
        <f aca="false">IF(ISNUMBER(G12),G12/'Quiz 2 Grades'!$M$5,"")</f>
        <v/>
      </c>
    </row>
    <row r="13" customFormat="false" ht="14.25" hidden="false" customHeight="false" outlineLevel="0" collapsed="false">
      <c r="A13" s="12" t="n">
        <v>9</v>
      </c>
      <c r="B13" s="7" t="s">
        <v>78</v>
      </c>
      <c r="C13" s="7" t="s">
        <v>79</v>
      </c>
      <c r="D13" s="7" t="str">
        <f aca="false">TRIM(C13&amp;" "&amp;B13)</f>
        <v>Jermy Brown</v>
      </c>
      <c r="E13" s="13"/>
      <c r="F13" s="7" t="str">
        <f aca="false">IF(E13="","Unassigned",IFERROR(IF(INDEX(Groups!$B$5:$B$17,MATCH(E13,Groups!$A$5:$A$17,0))="","Track not set",INDEX(Groups!$B$5:$B$17,MATCH(E13,Groups!$A$5:$A$17,0))),"Group not in table"))</f>
        <v>Unassigned</v>
      </c>
      <c r="G13" s="14" t="str">
        <f aca="false">IFERROR(IF(INDEX('Quiz 2 Grades'!$Q$7:$Q$58,MATCH($A13,'Quiz 2 Grades'!$A$7:$A$58,0))="Graded",INDEX('Quiz 2 Grades'!$M$7:$M$58,MATCH($A13,'Quiz 2 Grades'!$A$7:$A$58,0)),INDEX('Quiz 2 Grades'!$Q$7:$Q$58,MATCH($A13,'Quiz 2 Grades'!$A$7:$A$58,0))),"")</f>
        <v>Missing</v>
      </c>
      <c r="H13" s="15" t="str">
        <f aca="false">IF(ISNUMBER(G13),G13/'Quiz 2 Grades'!$M$5,"")</f>
        <v/>
      </c>
    </row>
    <row r="14" customFormat="false" ht="14.25" hidden="false" customHeight="false" outlineLevel="0" collapsed="false">
      <c r="A14" s="12" t="n">
        <v>10</v>
      </c>
      <c r="B14" s="7" t="s">
        <v>80</v>
      </c>
      <c r="C14" s="7" t="s">
        <v>81</v>
      </c>
      <c r="D14" s="7" t="str">
        <f aca="false">TRIM(C14&amp;" "&amp;B14)</f>
        <v>Eric Calderon</v>
      </c>
      <c r="E14" s="13"/>
      <c r="F14" s="7" t="str">
        <f aca="false">IF(E14="","Unassigned",IFERROR(IF(INDEX(Groups!$B$5:$B$17,MATCH(E14,Groups!$A$5:$A$17,0))="","Track not set",INDEX(Groups!$B$5:$B$17,MATCH(E14,Groups!$A$5:$A$17,0))),"Group not in table"))</f>
        <v>Unassigned</v>
      </c>
      <c r="G14" s="14" t="str">
        <f aca="false">IFERROR(IF(INDEX('Quiz 2 Grades'!$Q$7:$Q$58,MATCH($A14,'Quiz 2 Grades'!$A$7:$A$58,0))="Graded",INDEX('Quiz 2 Grades'!$M$7:$M$58,MATCH($A14,'Quiz 2 Grades'!$A$7:$A$58,0)),INDEX('Quiz 2 Grades'!$Q$7:$Q$58,MATCH($A14,'Quiz 2 Grades'!$A$7:$A$58,0))),"")</f>
        <v>Missing</v>
      </c>
      <c r="H14" s="15" t="str">
        <f aca="false">IF(ISNUMBER(G14),G14/'Quiz 2 Grades'!$M$5,"")</f>
        <v/>
      </c>
    </row>
    <row r="15" customFormat="false" ht="14.25" hidden="false" customHeight="false" outlineLevel="0" collapsed="false">
      <c r="A15" s="12" t="n">
        <v>11</v>
      </c>
      <c r="B15" s="7" t="s">
        <v>82</v>
      </c>
      <c r="C15" s="7" t="s">
        <v>83</v>
      </c>
      <c r="D15" s="7" t="str">
        <f aca="false">TRIM(C15&amp;" "&amp;B15)</f>
        <v>Angel Camarillo</v>
      </c>
      <c r="E15" s="13"/>
      <c r="F15" s="7" t="str">
        <f aca="false">IF(E15="","Unassigned",IFERROR(IF(INDEX(Groups!$B$5:$B$17,MATCH(E15,Groups!$A$5:$A$17,0))="","Track not set",INDEX(Groups!$B$5:$B$17,MATCH(E15,Groups!$A$5:$A$17,0))),"Group not in table"))</f>
        <v>Unassigned</v>
      </c>
      <c r="G15" s="14" t="str">
        <f aca="false">IFERROR(IF(INDEX('Quiz 2 Grades'!$Q$7:$Q$58,MATCH($A15,'Quiz 2 Grades'!$A$7:$A$58,0))="Graded",INDEX('Quiz 2 Grades'!$M$7:$M$58,MATCH($A15,'Quiz 2 Grades'!$A$7:$A$58,0)),INDEX('Quiz 2 Grades'!$Q$7:$Q$58,MATCH($A15,'Quiz 2 Grades'!$A$7:$A$58,0))),"")</f>
        <v>Missing</v>
      </c>
      <c r="H15" s="15" t="str">
        <f aca="false">IF(ISNUMBER(G15),G15/'Quiz 2 Grades'!$M$5,"")</f>
        <v/>
      </c>
    </row>
    <row r="16" customFormat="false" ht="14.25" hidden="false" customHeight="false" outlineLevel="0" collapsed="false">
      <c r="A16" s="12" t="n">
        <v>12</v>
      </c>
      <c r="B16" s="7" t="s">
        <v>84</v>
      </c>
      <c r="C16" s="7" t="s">
        <v>85</v>
      </c>
      <c r="D16" s="7" t="str">
        <f aca="false">TRIM(C16&amp;" "&amp;B16)</f>
        <v>Gavin Cappel</v>
      </c>
      <c r="E16" s="13"/>
      <c r="F16" s="7" t="str">
        <f aca="false">IF(E16="","Unassigned",IFERROR(IF(INDEX(Groups!$B$5:$B$17,MATCH(E16,Groups!$A$5:$A$17,0))="","Track not set",INDEX(Groups!$B$5:$B$17,MATCH(E16,Groups!$A$5:$A$17,0))),"Group not in table"))</f>
        <v>Unassigned</v>
      </c>
      <c r="G16" s="14" t="str">
        <f aca="false">IFERROR(IF(INDEX('Quiz 2 Grades'!$Q$7:$Q$58,MATCH($A16,'Quiz 2 Grades'!$A$7:$A$58,0))="Graded",INDEX('Quiz 2 Grades'!$M$7:$M$58,MATCH($A16,'Quiz 2 Grades'!$A$7:$A$58,0)),INDEX('Quiz 2 Grades'!$Q$7:$Q$58,MATCH($A16,'Quiz 2 Grades'!$A$7:$A$58,0))),"")</f>
        <v>Missing</v>
      </c>
      <c r="H16" s="15" t="str">
        <f aca="false">IF(ISNUMBER(G16),G16/'Quiz 2 Grades'!$M$5,"")</f>
        <v/>
      </c>
    </row>
    <row r="17" customFormat="false" ht="14.25" hidden="false" customHeight="false" outlineLevel="0" collapsed="false">
      <c r="A17" s="12" t="n">
        <v>13</v>
      </c>
      <c r="B17" s="7" t="s">
        <v>86</v>
      </c>
      <c r="C17" s="7" t="s">
        <v>87</v>
      </c>
      <c r="D17" s="7" t="str">
        <f aca="false">TRIM(C17&amp;" "&amp;B17)</f>
        <v>Venditha Chelikani</v>
      </c>
      <c r="E17" s="13"/>
      <c r="F17" s="7" t="str">
        <f aca="false">IF(E17="","Unassigned",IFERROR(IF(INDEX(Groups!$B$5:$B$17,MATCH(E17,Groups!$A$5:$A$17,0))="","Track not set",INDEX(Groups!$B$5:$B$17,MATCH(E17,Groups!$A$5:$A$17,0))),"Group not in table"))</f>
        <v>Unassigned</v>
      </c>
      <c r="G17" s="14" t="str">
        <f aca="false">IFERROR(IF(INDEX('Quiz 2 Grades'!$Q$7:$Q$58,MATCH($A17,'Quiz 2 Grades'!$A$7:$A$58,0))="Graded",INDEX('Quiz 2 Grades'!$M$7:$M$58,MATCH($A17,'Quiz 2 Grades'!$A$7:$A$58,0)),INDEX('Quiz 2 Grades'!$Q$7:$Q$58,MATCH($A17,'Quiz 2 Grades'!$A$7:$A$58,0))),"")</f>
        <v>Missing</v>
      </c>
      <c r="H17" s="15" t="str">
        <f aca="false">IF(ISNUMBER(G17),G17/'Quiz 2 Grades'!$M$5,"")</f>
        <v/>
      </c>
    </row>
    <row r="18" customFormat="false" ht="14.25" hidden="false" customHeight="false" outlineLevel="0" collapsed="false">
      <c r="A18" s="12" t="n">
        <v>14</v>
      </c>
      <c r="B18" s="7" t="s">
        <v>88</v>
      </c>
      <c r="C18" s="7" t="s">
        <v>89</v>
      </c>
      <c r="D18" s="7" t="str">
        <f aca="false">TRIM(C18&amp;" "&amp;B18)</f>
        <v>Brisa Colunga</v>
      </c>
      <c r="E18" s="13"/>
      <c r="F18" s="7" t="str">
        <f aca="false">IF(E18="","Unassigned",IFERROR(IF(INDEX(Groups!$B$5:$B$17,MATCH(E18,Groups!$A$5:$A$17,0))="","Track not set",INDEX(Groups!$B$5:$B$17,MATCH(E18,Groups!$A$5:$A$17,0))),"Group not in table"))</f>
        <v>Unassigned</v>
      </c>
      <c r="G18" s="14" t="str">
        <f aca="false">IFERROR(IF(INDEX('Quiz 2 Grades'!$Q$7:$Q$58,MATCH($A18,'Quiz 2 Grades'!$A$7:$A$58,0))="Graded",INDEX('Quiz 2 Grades'!$M$7:$M$58,MATCH($A18,'Quiz 2 Grades'!$A$7:$A$58,0)),INDEX('Quiz 2 Grades'!$Q$7:$Q$58,MATCH($A18,'Quiz 2 Grades'!$A$7:$A$58,0))),"")</f>
        <v>Missing</v>
      </c>
      <c r="H18" s="15" t="str">
        <f aca="false">IF(ISNUMBER(G18),G18/'Quiz 2 Grades'!$M$5,"")</f>
        <v/>
      </c>
    </row>
    <row r="19" customFormat="false" ht="14.25" hidden="false" customHeight="false" outlineLevel="0" collapsed="false">
      <c r="A19" s="12" t="n">
        <v>15</v>
      </c>
      <c r="B19" s="7" t="s">
        <v>90</v>
      </c>
      <c r="C19" s="7" t="s">
        <v>91</v>
      </c>
      <c r="D19" s="7" t="str">
        <f aca="false">TRIM(C19&amp;" "&amp;B19)</f>
        <v>Axel Cruz-Hernandez</v>
      </c>
      <c r="E19" s="13"/>
      <c r="F19" s="7" t="str">
        <f aca="false">IF(E19="","Unassigned",IFERROR(IF(INDEX(Groups!$B$5:$B$17,MATCH(E19,Groups!$A$5:$A$17,0))="","Track not set",INDEX(Groups!$B$5:$B$17,MATCH(E19,Groups!$A$5:$A$17,0))),"Group not in table"))</f>
        <v>Unassigned</v>
      </c>
      <c r="G19" s="14" t="str">
        <f aca="false">IFERROR(IF(INDEX('Quiz 2 Grades'!$Q$7:$Q$58,MATCH($A19,'Quiz 2 Grades'!$A$7:$A$58,0))="Graded",INDEX('Quiz 2 Grades'!$M$7:$M$58,MATCH($A19,'Quiz 2 Grades'!$A$7:$A$58,0)),INDEX('Quiz 2 Grades'!$Q$7:$Q$58,MATCH($A19,'Quiz 2 Grades'!$A$7:$A$58,0))),"")</f>
        <v>Missing</v>
      </c>
      <c r="H19" s="15" t="str">
        <f aca="false">IF(ISNUMBER(G19),G19/'Quiz 2 Grades'!$M$5,"")</f>
        <v/>
      </c>
    </row>
    <row r="20" customFormat="false" ht="14.25" hidden="false" customHeight="false" outlineLevel="0" collapsed="false">
      <c r="A20" s="12" t="n">
        <v>16</v>
      </c>
      <c r="B20" s="7" t="s">
        <v>92</v>
      </c>
      <c r="C20" s="7" t="s">
        <v>93</v>
      </c>
      <c r="D20" s="7" t="str">
        <f aca="false">TRIM(C20&amp;" "&amp;B20)</f>
        <v>Devin Cuellar</v>
      </c>
      <c r="E20" s="13"/>
      <c r="F20" s="7" t="str">
        <f aca="false">IF(E20="","Unassigned",IFERROR(IF(INDEX(Groups!$B$5:$B$17,MATCH(E20,Groups!$A$5:$A$17,0))="","Track not set",INDEX(Groups!$B$5:$B$17,MATCH(E20,Groups!$A$5:$A$17,0))),"Group not in table"))</f>
        <v>Unassigned</v>
      </c>
      <c r="G20" s="14" t="str">
        <f aca="false">IFERROR(IF(INDEX('Quiz 2 Grades'!$Q$7:$Q$58,MATCH($A20,'Quiz 2 Grades'!$A$7:$A$58,0))="Graded",INDEX('Quiz 2 Grades'!$M$7:$M$58,MATCH($A20,'Quiz 2 Grades'!$A$7:$A$58,0)),INDEX('Quiz 2 Grades'!$Q$7:$Q$58,MATCH($A20,'Quiz 2 Grades'!$A$7:$A$58,0))),"")</f>
        <v>Missing</v>
      </c>
      <c r="H20" s="15" t="str">
        <f aca="false">IF(ISNUMBER(G20),G20/'Quiz 2 Grades'!$M$5,"")</f>
        <v/>
      </c>
    </row>
    <row r="21" customFormat="false" ht="14.25" hidden="false" customHeight="false" outlineLevel="0" collapsed="false">
      <c r="A21" s="12" t="n">
        <v>17</v>
      </c>
      <c r="B21" s="7" t="s">
        <v>92</v>
      </c>
      <c r="C21" s="7" t="s">
        <v>94</v>
      </c>
      <c r="D21" s="7" t="str">
        <f aca="false">TRIM(C21&amp;" "&amp;B21)</f>
        <v>Mia Cuellar</v>
      </c>
      <c r="E21" s="13"/>
      <c r="F21" s="7" t="str">
        <f aca="false">IF(E21="","Unassigned",IFERROR(IF(INDEX(Groups!$B$5:$B$17,MATCH(E21,Groups!$A$5:$A$17,0))="","Track not set",INDEX(Groups!$B$5:$B$17,MATCH(E21,Groups!$A$5:$A$17,0))),"Group not in table"))</f>
        <v>Unassigned</v>
      </c>
      <c r="G21" s="14" t="str">
        <f aca="false">IFERROR(IF(INDEX('Quiz 2 Grades'!$Q$7:$Q$58,MATCH($A21,'Quiz 2 Grades'!$A$7:$A$58,0))="Graded",INDEX('Quiz 2 Grades'!$M$7:$M$58,MATCH($A21,'Quiz 2 Grades'!$A$7:$A$58,0)),INDEX('Quiz 2 Grades'!$Q$7:$Q$58,MATCH($A21,'Quiz 2 Grades'!$A$7:$A$58,0))),"")</f>
        <v>Missing</v>
      </c>
      <c r="H21" s="15" t="str">
        <f aca="false">IF(ISNUMBER(G21),G21/'Quiz 2 Grades'!$M$5,"")</f>
        <v/>
      </c>
    </row>
    <row r="22" customFormat="false" ht="14.25" hidden="false" customHeight="false" outlineLevel="0" collapsed="false">
      <c r="A22" s="12" t="n">
        <v>18</v>
      </c>
      <c r="B22" s="7" t="s">
        <v>95</v>
      </c>
      <c r="C22" s="7" t="s">
        <v>96</v>
      </c>
      <c r="D22" s="7" t="str">
        <f aca="false">TRIM(C22&amp;" "&amp;B22)</f>
        <v>Trevin Cutrer</v>
      </c>
      <c r="E22" s="13"/>
      <c r="F22" s="7" t="str">
        <f aca="false">IF(E22="","Unassigned",IFERROR(IF(INDEX(Groups!$B$5:$B$17,MATCH(E22,Groups!$A$5:$A$17,0))="","Track not set",INDEX(Groups!$B$5:$B$17,MATCH(E22,Groups!$A$5:$A$17,0))),"Group not in table"))</f>
        <v>Unassigned</v>
      </c>
      <c r="G22" s="14" t="str">
        <f aca="false">IFERROR(IF(INDEX('Quiz 2 Grades'!$Q$7:$Q$58,MATCH($A22,'Quiz 2 Grades'!$A$7:$A$58,0))="Graded",INDEX('Quiz 2 Grades'!$M$7:$M$58,MATCH($A22,'Quiz 2 Grades'!$A$7:$A$58,0)),INDEX('Quiz 2 Grades'!$Q$7:$Q$58,MATCH($A22,'Quiz 2 Grades'!$A$7:$A$58,0))),"")</f>
        <v>Missing</v>
      </c>
      <c r="H22" s="15" t="str">
        <f aca="false">IF(ISNUMBER(G22),G22/'Quiz 2 Grades'!$M$5,"")</f>
        <v/>
      </c>
    </row>
    <row r="23" customFormat="false" ht="14.25" hidden="false" customHeight="false" outlineLevel="0" collapsed="false">
      <c r="A23" s="12" t="n">
        <v>19</v>
      </c>
      <c r="B23" s="7" t="s">
        <v>97</v>
      </c>
      <c r="C23" s="7" t="s">
        <v>98</v>
      </c>
      <c r="D23" s="7" t="str">
        <f aca="false">TRIM(C23&amp;" "&amp;B23)</f>
        <v>Elizabeth Dillah</v>
      </c>
      <c r="E23" s="13"/>
      <c r="F23" s="7" t="str">
        <f aca="false">IF(E23="","Unassigned",IFERROR(IF(INDEX(Groups!$B$5:$B$17,MATCH(E23,Groups!$A$5:$A$17,0))="","Track not set",INDEX(Groups!$B$5:$B$17,MATCH(E23,Groups!$A$5:$A$17,0))),"Group not in table"))</f>
        <v>Unassigned</v>
      </c>
      <c r="G23" s="14" t="str">
        <f aca="false">IFERROR(IF(INDEX('Quiz 2 Grades'!$Q$7:$Q$58,MATCH($A23,'Quiz 2 Grades'!$A$7:$A$58,0))="Graded",INDEX('Quiz 2 Grades'!$M$7:$M$58,MATCH($A23,'Quiz 2 Grades'!$A$7:$A$58,0)),INDEX('Quiz 2 Grades'!$Q$7:$Q$58,MATCH($A23,'Quiz 2 Grades'!$A$7:$A$58,0))),"")</f>
        <v>Missing</v>
      </c>
      <c r="H23" s="15" t="str">
        <f aca="false">IF(ISNUMBER(G23),G23/'Quiz 2 Grades'!$M$5,"")</f>
        <v/>
      </c>
    </row>
    <row r="24" customFormat="false" ht="14.25" hidden="false" customHeight="false" outlineLevel="0" collapsed="false">
      <c r="A24" s="12" t="n">
        <v>20</v>
      </c>
      <c r="B24" s="7" t="s">
        <v>99</v>
      </c>
      <c r="C24" s="7" t="s">
        <v>100</v>
      </c>
      <c r="D24" s="7" t="str">
        <f aca="false">TRIM(C24&amp;" "&amp;B24)</f>
        <v>Jack Elsas</v>
      </c>
      <c r="E24" s="13"/>
      <c r="F24" s="7" t="str">
        <f aca="false">IF(E24="","Unassigned",IFERROR(IF(INDEX(Groups!$B$5:$B$17,MATCH(E24,Groups!$A$5:$A$17,0))="","Track not set",INDEX(Groups!$B$5:$B$17,MATCH(E24,Groups!$A$5:$A$17,0))),"Group not in table"))</f>
        <v>Unassigned</v>
      </c>
      <c r="G24" s="14" t="str">
        <f aca="false">IFERROR(IF(INDEX('Quiz 2 Grades'!$Q$7:$Q$58,MATCH($A24,'Quiz 2 Grades'!$A$7:$A$58,0))="Graded",INDEX('Quiz 2 Grades'!$M$7:$M$58,MATCH($A24,'Quiz 2 Grades'!$A$7:$A$58,0)),INDEX('Quiz 2 Grades'!$Q$7:$Q$58,MATCH($A24,'Quiz 2 Grades'!$A$7:$A$58,0))),"")</f>
        <v>Missing</v>
      </c>
      <c r="H24" s="15" t="str">
        <f aca="false">IF(ISNUMBER(G24),G24/'Quiz 2 Grades'!$M$5,"")</f>
        <v/>
      </c>
    </row>
    <row r="25" customFormat="false" ht="14.25" hidden="false" customHeight="false" outlineLevel="0" collapsed="false">
      <c r="A25" s="12" t="n">
        <v>21</v>
      </c>
      <c r="B25" s="7" t="s">
        <v>101</v>
      </c>
      <c r="C25" s="7" t="s">
        <v>102</v>
      </c>
      <c r="D25" s="7" t="str">
        <f aca="false">TRIM(C25&amp;" "&amp;B25)</f>
        <v>Connor Felux</v>
      </c>
      <c r="E25" s="13"/>
      <c r="F25" s="7" t="str">
        <f aca="false">IF(E25="","Unassigned",IFERROR(IF(INDEX(Groups!$B$5:$B$17,MATCH(E25,Groups!$A$5:$A$17,0))="","Track not set",INDEX(Groups!$B$5:$B$17,MATCH(E25,Groups!$A$5:$A$17,0))),"Group not in table"))</f>
        <v>Unassigned</v>
      </c>
      <c r="G25" s="14" t="str">
        <f aca="false">IFERROR(IF(INDEX('Quiz 2 Grades'!$Q$7:$Q$58,MATCH($A25,'Quiz 2 Grades'!$A$7:$A$58,0))="Graded",INDEX('Quiz 2 Grades'!$M$7:$M$58,MATCH($A25,'Quiz 2 Grades'!$A$7:$A$58,0)),INDEX('Quiz 2 Grades'!$Q$7:$Q$58,MATCH($A25,'Quiz 2 Grades'!$A$7:$A$58,0))),"")</f>
        <v>Missing</v>
      </c>
      <c r="H25" s="15" t="str">
        <f aca="false">IF(ISNUMBER(G25),G25/'Quiz 2 Grades'!$M$5,"")</f>
        <v/>
      </c>
    </row>
    <row r="26" customFormat="false" ht="14.25" hidden="false" customHeight="false" outlineLevel="0" collapsed="false">
      <c r="A26" s="12" t="n">
        <v>22</v>
      </c>
      <c r="B26" s="7" t="s">
        <v>103</v>
      </c>
      <c r="C26" s="7" t="s">
        <v>104</v>
      </c>
      <c r="D26" s="7" t="str">
        <f aca="false">TRIM(C26&amp;" "&amp;B26)</f>
        <v>Hunter Gates</v>
      </c>
      <c r="E26" s="13"/>
      <c r="F26" s="7" t="str">
        <f aca="false">IF(E26="","Unassigned",IFERROR(IF(INDEX(Groups!$B$5:$B$17,MATCH(E26,Groups!$A$5:$A$17,0))="","Track not set",INDEX(Groups!$B$5:$B$17,MATCH(E26,Groups!$A$5:$A$17,0))),"Group not in table"))</f>
        <v>Unassigned</v>
      </c>
      <c r="G26" s="14" t="str">
        <f aca="false">IFERROR(IF(INDEX('Quiz 2 Grades'!$Q$7:$Q$58,MATCH($A26,'Quiz 2 Grades'!$A$7:$A$58,0))="Graded",INDEX('Quiz 2 Grades'!$M$7:$M$58,MATCH($A26,'Quiz 2 Grades'!$A$7:$A$58,0)),INDEX('Quiz 2 Grades'!$Q$7:$Q$58,MATCH($A26,'Quiz 2 Grades'!$A$7:$A$58,0))),"")</f>
        <v>Missing</v>
      </c>
      <c r="H26" s="15" t="str">
        <f aca="false">IF(ISNUMBER(G26),G26/'Quiz 2 Grades'!$M$5,"")</f>
        <v/>
      </c>
    </row>
    <row r="27" customFormat="false" ht="14.25" hidden="false" customHeight="false" outlineLevel="0" collapsed="false">
      <c r="A27" s="12" t="n">
        <v>23</v>
      </c>
      <c r="B27" s="7" t="s">
        <v>105</v>
      </c>
      <c r="C27" s="7" t="s">
        <v>106</v>
      </c>
      <c r="D27" s="7" t="str">
        <f aca="false">TRIM(C27&amp;" "&amp;B27)</f>
        <v>Brinda Gayen</v>
      </c>
      <c r="E27" s="13"/>
      <c r="F27" s="7" t="str">
        <f aca="false">IF(E27="","Unassigned",IFERROR(IF(INDEX(Groups!$B$5:$B$17,MATCH(E27,Groups!$A$5:$A$17,0))="","Track not set",INDEX(Groups!$B$5:$B$17,MATCH(E27,Groups!$A$5:$A$17,0))),"Group not in table"))</f>
        <v>Unassigned</v>
      </c>
      <c r="G27" s="14" t="str">
        <f aca="false">IFERROR(IF(INDEX('Quiz 2 Grades'!$Q$7:$Q$58,MATCH($A27,'Quiz 2 Grades'!$A$7:$A$58,0))="Graded",INDEX('Quiz 2 Grades'!$M$7:$M$58,MATCH($A27,'Quiz 2 Grades'!$A$7:$A$58,0)),INDEX('Quiz 2 Grades'!$Q$7:$Q$58,MATCH($A27,'Quiz 2 Grades'!$A$7:$A$58,0))),"")</f>
        <v>Missing</v>
      </c>
      <c r="H27" s="15" t="str">
        <f aca="false">IF(ISNUMBER(G27),G27/'Quiz 2 Grades'!$M$5,"")</f>
        <v/>
      </c>
    </row>
    <row r="28" customFormat="false" ht="14.25" hidden="false" customHeight="false" outlineLevel="0" collapsed="false">
      <c r="A28" s="12" t="n">
        <v>24</v>
      </c>
      <c r="B28" s="7" t="s">
        <v>107</v>
      </c>
      <c r="C28" s="7" t="s">
        <v>108</v>
      </c>
      <c r="D28" s="7" t="str">
        <f aca="false">TRIM(C28&amp;" "&amp;B28)</f>
        <v>Victoria Gaytan</v>
      </c>
      <c r="E28" s="13"/>
      <c r="F28" s="7" t="str">
        <f aca="false">IF(E28="","Unassigned",IFERROR(IF(INDEX(Groups!$B$5:$B$17,MATCH(E28,Groups!$A$5:$A$17,0))="","Track not set",INDEX(Groups!$B$5:$B$17,MATCH(E28,Groups!$A$5:$A$17,0))),"Group not in table"))</f>
        <v>Unassigned</v>
      </c>
      <c r="G28" s="14" t="str">
        <f aca="false">IFERROR(IF(INDEX('Quiz 2 Grades'!$Q$7:$Q$58,MATCH($A28,'Quiz 2 Grades'!$A$7:$A$58,0))="Graded",INDEX('Quiz 2 Grades'!$M$7:$M$58,MATCH($A28,'Quiz 2 Grades'!$A$7:$A$58,0)),INDEX('Quiz 2 Grades'!$Q$7:$Q$58,MATCH($A28,'Quiz 2 Grades'!$A$7:$A$58,0))),"")</f>
        <v>Missing</v>
      </c>
      <c r="H28" s="15" t="str">
        <f aca="false">IF(ISNUMBER(G28),G28/'Quiz 2 Grades'!$M$5,"")</f>
        <v/>
      </c>
    </row>
    <row r="29" customFormat="false" ht="14.25" hidden="false" customHeight="false" outlineLevel="0" collapsed="false">
      <c r="A29" s="12" t="n">
        <v>25</v>
      </c>
      <c r="B29" s="7" t="s">
        <v>109</v>
      </c>
      <c r="C29" s="7" t="s">
        <v>110</v>
      </c>
      <c r="D29" s="7" t="str">
        <f aca="false">TRIM(C29&amp;" "&amp;B29)</f>
        <v>Jocelyn Gonzalez</v>
      </c>
      <c r="E29" s="13"/>
      <c r="F29" s="7" t="str">
        <f aca="false">IF(E29="","Unassigned",IFERROR(IF(INDEX(Groups!$B$5:$B$17,MATCH(E29,Groups!$A$5:$A$17,0))="","Track not set",INDEX(Groups!$B$5:$B$17,MATCH(E29,Groups!$A$5:$A$17,0))),"Group not in table"))</f>
        <v>Unassigned</v>
      </c>
      <c r="G29" s="14" t="str">
        <f aca="false">IFERROR(IF(INDEX('Quiz 2 Grades'!$Q$7:$Q$58,MATCH($A29,'Quiz 2 Grades'!$A$7:$A$58,0))="Graded",INDEX('Quiz 2 Grades'!$M$7:$M$58,MATCH($A29,'Quiz 2 Grades'!$A$7:$A$58,0)),INDEX('Quiz 2 Grades'!$Q$7:$Q$58,MATCH($A29,'Quiz 2 Grades'!$A$7:$A$58,0))),"")</f>
        <v>Missing</v>
      </c>
      <c r="H29" s="15" t="str">
        <f aca="false">IF(ISNUMBER(G29),G29/'Quiz 2 Grades'!$M$5,"")</f>
        <v/>
      </c>
    </row>
    <row r="30" customFormat="false" ht="14.25" hidden="false" customHeight="false" outlineLevel="0" collapsed="false">
      <c r="A30" s="12" t="n">
        <v>26</v>
      </c>
      <c r="B30" s="7" t="s">
        <v>111</v>
      </c>
      <c r="C30" s="7" t="s">
        <v>112</v>
      </c>
      <c r="D30" s="7" t="str">
        <f aca="false">TRIM(C30&amp;" "&amp;B30)</f>
        <v>Michelle Gutierrez</v>
      </c>
      <c r="E30" s="13"/>
      <c r="F30" s="7" t="str">
        <f aca="false">IF(E30="","Unassigned",IFERROR(IF(INDEX(Groups!$B$5:$B$17,MATCH(E30,Groups!$A$5:$A$17,0))="","Track not set",INDEX(Groups!$B$5:$B$17,MATCH(E30,Groups!$A$5:$A$17,0))),"Group not in table"))</f>
        <v>Unassigned</v>
      </c>
      <c r="G30" s="14" t="str">
        <f aca="false">IFERROR(IF(INDEX('Quiz 2 Grades'!$Q$7:$Q$58,MATCH($A30,'Quiz 2 Grades'!$A$7:$A$58,0))="Graded",INDEX('Quiz 2 Grades'!$M$7:$M$58,MATCH($A30,'Quiz 2 Grades'!$A$7:$A$58,0)),INDEX('Quiz 2 Grades'!$Q$7:$Q$58,MATCH($A30,'Quiz 2 Grades'!$A$7:$A$58,0))),"")</f>
        <v>Missing</v>
      </c>
      <c r="H30" s="15" t="str">
        <f aca="false">IF(ISNUMBER(G30),G30/'Quiz 2 Grades'!$M$5,"")</f>
        <v/>
      </c>
    </row>
    <row r="31" customFormat="false" ht="14.25" hidden="false" customHeight="false" outlineLevel="0" collapsed="false">
      <c r="A31" s="12" t="n">
        <v>27</v>
      </c>
      <c r="B31" s="7" t="s">
        <v>113</v>
      </c>
      <c r="C31" s="7" t="s">
        <v>114</v>
      </c>
      <c r="D31" s="7" t="str">
        <f aca="false">TRIM(C31&amp;" "&amp;B31)</f>
        <v>Rachel Holmes</v>
      </c>
      <c r="E31" s="13"/>
      <c r="F31" s="7" t="str">
        <f aca="false">IF(E31="","Unassigned",IFERROR(IF(INDEX(Groups!$B$5:$B$17,MATCH(E31,Groups!$A$5:$A$17,0))="","Track not set",INDEX(Groups!$B$5:$B$17,MATCH(E31,Groups!$A$5:$A$17,0))),"Group not in table"))</f>
        <v>Unassigned</v>
      </c>
      <c r="G31" s="14" t="str">
        <f aca="false">IFERROR(IF(INDEX('Quiz 2 Grades'!$Q$7:$Q$58,MATCH($A31,'Quiz 2 Grades'!$A$7:$A$58,0))="Graded",INDEX('Quiz 2 Grades'!$M$7:$M$58,MATCH($A31,'Quiz 2 Grades'!$A$7:$A$58,0)),INDEX('Quiz 2 Grades'!$Q$7:$Q$58,MATCH($A31,'Quiz 2 Grades'!$A$7:$A$58,0))),"")</f>
        <v>Missing</v>
      </c>
      <c r="H31" s="15" t="str">
        <f aca="false">IF(ISNUMBER(G31),G31/'Quiz 2 Grades'!$M$5,"")</f>
        <v/>
      </c>
    </row>
    <row r="32" customFormat="false" ht="14.25" hidden="false" customHeight="false" outlineLevel="0" collapsed="false">
      <c r="A32" s="12" t="n">
        <v>28</v>
      </c>
      <c r="B32" s="7" t="s">
        <v>115</v>
      </c>
      <c r="C32" s="7" t="s">
        <v>116</v>
      </c>
      <c r="D32" s="7" t="str">
        <f aca="false">TRIM(C32&amp;" "&amp;B32)</f>
        <v>Emily Ickert</v>
      </c>
      <c r="E32" s="13"/>
      <c r="F32" s="7" t="str">
        <f aca="false">IF(E32="","Unassigned",IFERROR(IF(INDEX(Groups!$B$5:$B$17,MATCH(E32,Groups!$A$5:$A$17,0))="","Track not set",INDEX(Groups!$B$5:$B$17,MATCH(E32,Groups!$A$5:$A$17,0))),"Group not in table"))</f>
        <v>Unassigned</v>
      </c>
      <c r="G32" s="14" t="str">
        <f aca="false">IFERROR(IF(INDEX('Quiz 2 Grades'!$Q$7:$Q$58,MATCH($A32,'Quiz 2 Grades'!$A$7:$A$58,0))="Graded",INDEX('Quiz 2 Grades'!$M$7:$M$58,MATCH($A32,'Quiz 2 Grades'!$A$7:$A$58,0)),INDEX('Quiz 2 Grades'!$Q$7:$Q$58,MATCH($A32,'Quiz 2 Grades'!$A$7:$A$58,0))),"")</f>
        <v>Missing</v>
      </c>
      <c r="H32" s="15" t="str">
        <f aca="false">IF(ISNUMBER(G32),G32/'Quiz 2 Grades'!$M$5,"")</f>
        <v/>
      </c>
    </row>
    <row r="33" customFormat="false" ht="14.25" hidden="false" customHeight="false" outlineLevel="0" collapsed="false">
      <c r="A33" s="12" t="n">
        <v>29</v>
      </c>
      <c r="B33" s="7" t="s">
        <v>117</v>
      </c>
      <c r="C33" s="7" t="s">
        <v>118</v>
      </c>
      <c r="D33" s="7" t="str">
        <f aca="false">TRIM(C33&amp;" "&amp;B33)</f>
        <v>Mihal Jacob</v>
      </c>
      <c r="E33" s="13"/>
      <c r="F33" s="7" t="str">
        <f aca="false">IF(E33="","Unassigned",IFERROR(IF(INDEX(Groups!$B$5:$B$17,MATCH(E33,Groups!$A$5:$A$17,0))="","Track not set",INDEX(Groups!$B$5:$B$17,MATCH(E33,Groups!$A$5:$A$17,0))),"Group not in table"))</f>
        <v>Unassigned</v>
      </c>
      <c r="G33" s="14" t="str">
        <f aca="false">IFERROR(IF(INDEX('Quiz 2 Grades'!$Q$7:$Q$58,MATCH($A33,'Quiz 2 Grades'!$A$7:$A$58,0))="Graded",INDEX('Quiz 2 Grades'!$M$7:$M$58,MATCH($A33,'Quiz 2 Grades'!$A$7:$A$58,0)),INDEX('Quiz 2 Grades'!$Q$7:$Q$58,MATCH($A33,'Quiz 2 Grades'!$A$7:$A$58,0))),"")</f>
        <v>Missing</v>
      </c>
      <c r="H33" s="15" t="str">
        <f aca="false">IF(ISNUMBER(G33),G33/'Quiz 2 Grades'!$M$5,"")</f>
        <v/>
      </c>
    </row>
    <row r="34" customFormat="false" ht="14.25" hidden="false" customHeight="false" outlineLevel="0" collapsed="false">
      <c r="A34" s="12" t="n">
        <v>30</v>
      </c>
      <c r="B34" s="7" t="s">
        <v>119</v>
      </c>
      <c r="C34" s="7" t="s">
        <v>120</v>
      </c>
      <c r="D34" s="7" t="str">
        <f aca="false">TRIM(C34&amp;" "&amp;B34)</f>
        <v>Alyssa Jasso</v>
      </c>
      <c r="E34" s="13"/>
      <c r="F34" s="7" t="str">
        <f aca="false">IF(E34="","Unassigned",IFERROR(IF(INDEX(Groups!$B$5:$B$17,MATCH(E34,Groups!$A$5:$A$17,0))="","Track not set",INDEX(Groups!$B$5:$B$17,MATCH(E34,Groups!$A$5:$A$17,0))),"Group not in table"))</f>
        <v>Unassigned</v>
      </c>
      <c r="G34" s="14" t="str">
        <f aca="false">IFERROR(IF(INDEX('Quiz 2 Grades'!$Q$7:$Q$58,MATCH($A34,'Quiz 2 Grades'!$A$7:$A$58,0))="Graded",INDEX('Quiz 2 Grades'!$M$7:$M$58,MATCH($A34,'Quiz 2 Grades'!$A$7:$A$58,0)),INDEX('Quiz 2 Grades'!$Q$7:$Q$58,MATCH($A34,'Quiz 2 Grades'!$A$7:$A$58,0))),"")</f>
        <v>Missing</v>
      </c>
      <c r="H34" s="15" t="str">
        <f aca="false">IF(ISNUMBER(G34),G34/'Quiz 2 Grades'!$M$5,"")</f>
        <v/>
      </c>
    </row>
    <row r="35" customFormat="false" ht="14.25" hidden="false" customHeight="false" outlineLevel="0" collapsed="false">
      <c r="A35" s="12" t="n">
        <v>31</v>
      </c>
      <c r="B35" s="7" t="s">
        <v>121</v>
      </c>
      <c r="C35" s="7" t="s">
        <v>122</v>
      </c>
      <c r="D35" s="7" t="str">
        <f aca="false">TRIM(C35&amp;" "&amp;B35)</f>
        <v>Isabella Juarez</v>
      </c>
      <c r="E35" s="13"/>
      <c r="F35" s="7" t="str">
        <f aca="false">IF(E35="","Unassigned",IFERROR(IF(INDEX(Groups!$B$5:$B$17,MATCH(E35,Groups!$A$5:$A$17,0))="","Track not set",INDEX(Groups!$B$5:$B$17,MATCH(E35,Groups!$A$5:$A$17,0))),"Group not in table"))</f>
        <v>Unassigned</v>
      </c>
      <c r="G35" s="14" t="str">
        <f aca="false">IFERROR(IF(INDEX('Quiz 2 Grades'!$Q$7:$Q$58,MATCH($A35,'Quiz 2 Grades'!$A$7:$A$58,0))="Graded",INDEX('Quiz 2 Grades'!$M$7:$M$58,MATCH($A35,'Quiz 2 Grades'!$A$7:$A$58,0)),INDEX('Quiz 2 Grades'!$Q$7:$Q$58,MATCH($A35,'Quiz 2 Grades'!$A$7:$A$58,0))),"")</f>
        <v>Missing</v>
      </c>
      <c r="H35" s="15" t="str">
        <f aca="false">IF(ISNUMBER(G35),G35/'Quiz 2 Grades'!$M$5,"")</f>
        <v/>
      </c>
    </row>
    <row r="36" customFormat="false" ht="14.25" hidden="false" customHeight="false" outlineLevel="0" collapsed="false">
      <c r="A36" s="12" t="n">
        <v>32</v>
      </c>
      <c r="B36" s="7" t="s">
        <v>123</v>
      </c>
      <c r="C36" s="7" t="s">
        <v>124</v>
      </c>
      <c r="D36" s="7" t="str">
        <f aca="false">TRIM(C36&amp;" "&amp;B36)</f>
        <v>Maryam Ka</v>
      </c>
      <c r="E36" s="13"/>
      <c r="F36" s="7" t="str">
        <f aca="false">IF(E36="","Unassigned",IFERROR(IF(INDEX(Groups!$B$5:$B$17,MATCH(E36,Groups!$A$5:$A$17,0))="","Track not set",INDEX(Groups!$B$5:$B$17,MATCH(E36,Groups!$A$5:$A$17,0))),"Group not in table"))</f>
        <v>Unassigned</v>
      </c>
      <c r="G36" s="14" t="str">
        <f aca="false">IFERROR(IF(INDEX('Quiz 2 Grades'!$Q$7:$Q$58,MATCH($A36,'Quiz 2 Grades'!$A$7:$A$58,0))="Graded",INDEX('Quiz 2 Grades'!$M$7:$M$58,MATCH($A36,'Quiz 2 Grades'!$A$7:$A$58,0)),INDEX('Quiz 2 Grades'!$Q$7:$Q$58,MATCH($A36,'Quiz 2 Grades'!$A$7:$A$58,0))),"")</f>
        <v>Missing</v>
      </c>
      <c r="H36" s="15" t="str">
        <f aca="false">IF(ISNUMBER(G36),G36/'Quiz 2 Grades'!$M$5,"")</f>
        <v/>
      </c>
    </row>
    <row r="37" customFormat="false" ht="14.25" hidden="false" customHeight="false" outlineLevel="0" collapsed="false">
      <c r="A37" s="12" t="n">
        <v>33</v>
      </c>
      <c r="B37" s="7" t="s">
        <v>125</v>
      </c>
      <c r="C37" s="7" t="s">
        <v>126</v>
      </c>
      <c r="D37" s="7" t="str">
        <f aca="false">TRIM(C37&amp;" "&amp;B37)</f>
        <v>Jenna Koestler</v>
      </c>
      <c r="E37" s="13"/>
      <c r="F37" s="7" t="str">
        <f aca="false">IF(E37="","Unassigned",IFERROR(IF(INDEX(Groups!$B$5:$B$17,MATCH(E37,Groups!$A$5:$A$17,0))="","Track not set",INDEX(Groups!$B$5:$B$17,MATCH(E37,Groups!$A$5:$A$17,0))),"Group not in table"))</f>
        <v>Unassigned</v>
      </c>
      <c r="G37" s="14" t="str">
        <f aca="false">IFERROR(IF(INDEX('Quiz 2 Grades'!$Q$7:$Q$58,MATCH($A37,'Quiz 2 Grades'!$A$7:$A$58,0))="Graded",INDEX('Quiz 2 Grades'!$M$7:$M$58,MATCH($A37,'Quiz 2 Grades'!$A$7:$A$58,0)),INDEX('Quiz 2 Grades'!$Q$7:$Q$58,MATCH($A37,'Quiz 2 Grades'!$A$7:$A$58,0))),"")</f>
        <v>Missing</v>
      </c>
      <c r="H37" s="15" t="str">
        <f aca="false">IF(ISNUMBER(G37),G37/'Quiz 2 Grades'!$M$5,"")</f>
        <v/>
      </c>
    </row>
    <row r="38" customFormat="false" ht="14.25" hidden="false" customHeight="false" outlineLevel="0" collapsed="false">
      <c r="A38" s="12" t="n">
        <v>34</v>
      </c>
      <c r="B38" s="7" t="s">
        <v>127</v>
      </c>
      <c r="C38" s="7" t="s">
        <v>128</v>
      </c>
      <c r="D38" s="7" t="str">
        <f aca="false">TRIM(C38&amp;" "&amp;B38)</f>
        <v>Shawn Kwende</v>
      </c>
      <c r="E38" s="13"/>
      <c r="F38" s="7" t="str">
        <f aca="false">IF(E38="","Unassigned",IFERROR(IF(INDEX(Groups!$B$5:$B$17,MATCH(E38,Groups!$A$5:$A$17,0))="","Track not set",INDEX(Groups!$B$5:$B$17,MATCH(E38,Groups!$A$5:$A$17,0))),"Group not in table"))</f>
        <v>Unassigned</v>
      </c>
      <c r="G38" s="14" t="str">
        <f aca="false">IFERROR(IF(INDEX('Quiz 2 Grades'!$Q$7:$Q$58,MATCH($A38,'Quiz 2 Grades'!$A$7:$A$58,0))="Graded",INDEX('Quiz 2 Grades'!$M$7:$M$58,MATCH($A38,'Quiz 2 Grades'!$A$7:$A$58,0)),INDEX('Quiz 2 Grades'!$Q$7:$Q$58,MATCH($A38,'Quiz 2 Grades'!$A$7:$A$58,0))),"")</f>
        <v>Missing</v>
      </c>
      <c r="H38" s="15" t="str">
        <f aca="false">IF(ISNUMBER(G38),G38/'Quiz 2 Grades'!$M$5,"")</f>
        <v/>
      </c>
    </row>
    <row r="39" customFormat="false" ht="14.25" hidden="false" customHeight="false" outlineLevel="0" collapsed="false">
      <c r="A39" s="12" t="n">
        <v>35</v>
      </c>
      <c r="B39" s="7" t="s">
        <v>129</v>
      </c>
      <c r="C39" s="7" t="s">
        <v>130</v>
      </c>
      <c r="D39" s="7" t="str">
        <f aca="false">TRIM(C39&amp;" "&amp;B39)</f>
        <v>Kara Larsen</v>
      </c>
      <c r="E39" s="13"/>
      <c r="F39" s="7" t="str">
        <f aca="false">IF(E39="","Unassigned",IFERROR(IF(INDEX(Groups!$B$5:$B$17,MATCH(E39,Groups!$A$5:$A$17,0))="","Track not set",INDEX(Groups!$B$5:$B$17,MATCH(E39,Groups!$A$5:$A$17,0))),"Group not in table"))</f>
        <v>Unassigned</v>
      </c>
      <c r="G39" s="14" t="str">
        <f aca="false">IFERROR(IF(INDEX('Quiz 2 Grades'!$Q$7:$Q$58,MATCH($A39,'Quiz 2 Grades'!$A$7:$A$58,0))="Graded",INDEX('Quiz 2 Grades'!$M$7:$M$58,MATCH($A39,'Quiz 2 Grades'!$A$7:$A$58,0)),INDEX('Quiz 2 Grades'!$Q$7:$Q$58,MATCH($A39,'Quiz 2 Grades'!$A$7:$A$58,0))),"")</f>
        <v>Missing</v>
      </c>
      <c r="H39" s="15" t="str">
        <f aca="false">IF(ISNUMBER(G39),G39/'Quiz 2 Grades'!$M$5,"")</f>
        <v/>
      </c>
    </row>
    <row r="40" customFormat="false" ht="14.25" hidden="false" customHeight="false" outlineLevel="0" collapsed="false">
      <c r="A40" s="12" t="n">
        <v>36</v>
      </c>
      <c r="B40" s="7" t="s">
        <v>131</v>
      </c>
      <c r="C40" s="7" t="s">
        <v>132</v>
      </c>
      <c r="D40" s="7" t="str">
        <f aca="false">TRIM(C40&amp;" "&amp;B40)</f>
        <v>Diego Leal</v>
      </c>
      <c r="E40" s="13"/>
      <c r="F40" s="7" t="str">
        <f aca="false">IF(E40="","Unassigned",IFERROR(IF(INDEX(Groups!$B$5:$B$17,MATCH(E40,Groups!$A$5:$A$17,0))="","Track not set",INDEX(Groups!$B$5:$B$17,MATCH(E40,Groups!$A$5:$A$17,0))),"Group not in table"))</f>
        <v>Unassigned</v>
      </c>
      <c r="G40" s="14" t="str">
        <f aca="false">IFERROR(IF(INDEX('Quiz 2 Grades'!$Q$7:$Q$58,MATCH($A40,'Quiz 2 Grades'!$A$7:$A$58,0))="Graded",INDEX('Quiz 2 Grades'!$M$7:$M$58,MATCH($A40,'Quiz 2 Grades'!$A$7:$A$58,0)),INDEX('Quiz 2 Grades'!$Q$7:$Q$58,MATCH($A40,'Quiz 2 Grades'!$A$7:$A$58,0))),"")</f>
        <v>Missing</v>
      </c>
      <c r="H40" s="15" t="str">
        <f aca="false">IF(ISNUMBER(G40),G40/'Quiz 2 Grades'!$M$5,"")</f>
        <v/>
      </c>
    </row>
    <row r="41" customFormat="false" ht="14.25" hidden="false" customHeight="false" outlineLevel="0" collapsed="false">
      <c r="A41" s="12" t="n">
        <v>37</v>
      </c>
      <c r="B41" s="7" t="s">
        <v>133</v>
      </c>
      <c r="C41" s="7" t="s">
        <v>134</v>
      </c>
      <c r="D41" s="7" t="str">
        <f aca="false">TRIM(C41&amp;" "&amp;B41)</f>
        <v>Valeria Leon</v>
      </c>
      <c r="E41" s="13"/>
      <c r="F41" s="7" t="str">
        <f aca="false">IF(E41="","Unassigned",IFERROR(IF(INDEX(Groups!$B$5:$B$17,MATCH(E41,Groups!$A$5:$A$17,0))="","Track not set",INDEX(Groups!$B$5:$B$17,MATCH(E41,Groups!$A$5:$A$17,0))),"Group not in table"))</f>
        <v>Unassigned</v>
      </c>
      <c r="G41" s="14" t="str">
        <f aca="false">IFERROR(IF(INDEX('Quiz 2 Grades'!$Q$7:$Q$58,MATCH($A41,'Quiz 2 Grades'!$A$7:$A$58,0))="Graded",INDEX('Quiz 2 Grades'!$M$7:$M$58,MATCH($A41,'Quiz 2 Grades'!$A$7:$A$58,0)),INDEX('Quiz 2 Grades'!$Q$7:$Q$58,MATCH($A41,'Quiz 2 Grades'!$A$7:$A$58,0))),"")</f>
        <v>Missing</v>
      </c>
      <c r="H41" s="15" t="str">
        <f aca="false">IF(ISNUMBER(G41),G41/'Quiz 2 Grades'!$M$5,"")</f>
        <v/>
      </c>
    </row>
    <row r="42" customFormat="false" ht="14.25" hidden="false" customHeight="false" outlineLevel="0" collapsed="false">
      <c r="A42" s="12" t="n">
        <v>38</v>
      </c>
      <c r="B42" s="7" t="s">
        <v>135</v>
      </c>
      <c r="C42" s="7" t="s">
        <v>136</v>
      </c>
      <c r="D42" s="7" t="str">
        <f aca="false">TRIM(C42&amp;" "&amp;B42)</f>
        <v>Aaron Linhart</v>
      </c>
      <c r="E42" s="13"/>
      <c r="F42" s="7" t="str">
        <f aca="false">IF(E42="","Unassigned",IFERROR(IF(INDEX(Groups!$B$5:$B$17,MATCH(E42,Groups!$A$5:$A$17,0))="","Track not set",INDEX(Groups!$B$5:$B$17,MATCH(E42,Groups!$A$5:$A$17,0))),"Group not in table"))</f>
        <v>Unassigned</v>
      </c>
      <c r="G42" s="14" t="str">
        <f aca="false">IFERROR(IF(INDEX('Quiz 2 Grades'!$Q$7:$Q$58,MATCH($A42,'Quiz 2 Grades'!$A$7:$A$58,0))="Graded",INDEX('Quiz 2 Grades'!$M$7:$M$58,MATCH($A42,'Quiz 2 Grades'!$A$7:$A$58,0)),INDEX('Quiz 2 Grades'!$Q$7:$Q$58,MATCH($A42,'Quiz 2 Grades'!$A$7:$A$58,0))),"")</f>
        <v>Missing</v>
      </c>
      <c r="H42" s="15" t="str">
        <f aca="false">IF(ISNUMBER(G42),G42/'Quiz 2 Grades'!$M$5,"")</f>
        <v/>
      </c>
    </row>
    <row r="43" customFormat="false" ht="14.25" hidden="false" customHeight="false" outlineLevel="0" collapsed="false">
      <c r="A43" s="12" t="n">
        <v>39</v>
      </c>
      <c r="B43" s="7" t="s">
        <v>137</v>
      </c>
      <c r="C43" s="7" t="s">
        <v>138</v>
      </c>
      <c r="D43" s="7" t="str">
        <f aca="false">TRIM(C43&amp;" "&amp;B43)</f>
        <v>Jared O'neal</v>
      </c>
      <c r="E43" s="13"/>
      <c r="F43" s="7" t="str">
        <f aca="false">IF(E43="","Unassigned",IFERROR(IF(INDEX(Groups!$B$5:$B$17,MATCH(E43,Groups!$A$5:$A$17,0))="","Track not set",INDEX(Groups!$B$5:$B$17,MATCH(E43,Groups!$A$5:$A$17,0))),"Group not in table"))</f>
        <v>Unassigned</v>
      </c>
      <c r="G43" s="14" t="str">
        <f aca="false">IFERROR(IF(INDEX('Quiz 2 Grades'!$Q$7:$Q$58,MATCH($A43,'Quiz 2 Grades'!$A$7:$A$58,0))="Graded",INDEX('Quiz 2 Grades'!$M$7:$M$58,MATCH($A43,'Quiz 2 Grades'!$A$7:$A$58,0)),INDEX('Quiz 2 Grades'!$Q$7:$Q$58,MATCH($A43,'Quiz 2 Grades'!$A$7:$A$58,0))),"")</f>
        <v>Missing</v>
      </c>
      <c r="H43" s="15" t="str">
        <f aca="false">IF(ISNUMBER(G43),G43/'Quiz 2 Grades'!$M$5,"")</f>
        <v/>
      </c>
    </row>
    <row r="44" customFormat="false" ht="14.25" hidden="false" customHeight="false" outlineLevel="0" collapsed="false">
      <c r="A44" s="12" t="n">
        <v>40</v>
      </c>
      <c r="B44" s="7" t="s">
        <v>139</v>
      </c>
      <c r="C44" s="7" t="s">
        <v>140</v>
      </c>
      <c r="D44" s="7" t="str">
        <f aca="false">TRIM(C44&amp;" "&amp;B44)</f>
        <v>Daniela Osorio</v>
      </c>
      <c r="E44" s="13"/>
      <c r="F44" s="7" t="str">
        <f aca="false">IF(E44="","Unassigned",IFERROR(IF(INDEX(Groups!$B$5:$B$17,MATCH(E44,Groups!$A$5:$A$17,0))="","Track not set",INDEX(Groups!$B$5:$B$17,MATCH(E44,Groups!$A$5:$A$17,0))),"Group not in table"))</f>
        <v>Unassigned</v>
      </c>
      <c r="G44" s="14" t="str">
        <f aca="false">IFERROR(IF(INDEX('Quiz 2 Grades'!$Q$7:$Q$58,MATCH($A44,'Quiz 2 Grades'!$A$7:$A$58,0))="Graded",INDEX('Quiz 2 Grades'!$M$7:$M$58,MATCH($A44,'Quiz 2 Grades'!$A$7:$A$58,0)),INDEX('Quiz 2 Grades'!$Q$7:$Q$58,MATCH($A44,'Quiz 2 Grades'!$A$7:$A$58,0))),"")</f>
        <v>Missing</v>
      </c>
      <c r="H44" s="15" t="str">
        <f aca="false">IF(ISNUMBER(G44),G44/'Quiz 2 Grades'!$M$5,"")</f>
        <v/>
      </c>
    </row>
    <row r="45" customFormat="false" ht="14.25" hidden="false" customHeight="false" outlineLevel="0" collapsed="false">
      <c r="A45" s="12" t="n">
        <v>41</v>
      </c>
      <c r="B45" s="7" t="s">
        <v>141</v>
      </c>
      <c r="C45" s="7" t="s">
        <v>142</v>
      </c>
      <c r="D45" s="7" t="str">
        <f aca="false">TRIM(C45&amp;" "&amp;B45)</f>
        <v>Yasmine Padilla</v>
      </c>
      <c r="E45" s="13"/>
      <c r="F45" s="7" t="str">
        <f aca="false">IF(E45="","Unassigned",IFERROR(IF(INDEX(Groups!$B$5:$B$17,MATCH(E45,Groups!$A$5:$A$17,0))="","Track not set",INDEX(Groups!$B$5:$B$17,MATCH(E45,Groups!$A$5:$A$17,0))),"Group not in table"))</f>
        <v>Unassigned</v>
      </c>
      <c r="G45" s="14" t="str">
        <f aca="false">IFERROR(IF(INDEX('Quiz 2 Grades'!$Q$7:$Q$58,MATCH($A45,'Quiz 2 Grades'!$A$7:$A$58,0))="Graded",INDEX('Quiz 2 Grades'!$M$7:$M$58,MATCH($A45,'Quiz 2 Grades'!$A$7:$A$58,0)),INDEX('Quiz 2 Grades'!$Q$7:$Q$58,MATCH($A45,'Quiz 2 Grades'!$A$7:$A$58,0))),"")</f>
        <v>Missing</v>
      </c>
      <c r="H45" s="15" t="str">
        <f aca="false">IF(ISNUMBER(G45),G45/'Quiz 2 Grades'!$M$5,"")</f>
        <v/>
      </c>
    </row>
    <row r="46" customFormat="false" ht="14.25" hidden="false" customHeight="false" outlineLevel="0" collapsed="false">
      <c r="A46" s="12" t="n">
        <v>42</v>
      </c>
      <c r="B46" s="7" t="s">
        <v>143</v>
      </c>
      <c r="C46" s="7" t="s">
        <v>144</v>
      </c>
      <c r="D46" s="7" t="str">
        <f aca="false">TRIM(C46&amp;" "&amp;B46)</f>
        <v>Macie Perrio</v>
      </c>
      <c r="E46" s="13"/>
      <c r="F46" s="7" t="str">
        <f aca="false">IF(E46="","Unassigned",IFERROR(IF(INDEX(Groups!$B$5:$B$17,MATCH(E46,Groups!$A$5:$A$17,0))="","Track not set",INDEX(Groups!$B$5:$B$17,MATCH(E46,Groups!$A$5:$A$17,0))),"Group not in table"))</f>
        <v>Unassigned</v>
      </c>
      <c r="G46" s="14" t="str">
        <f aca="false">IFERROR(IF(INDEX('Quiz 2 Grades'!$Q$7:$Q$58,MATCH($A46,'Quiz 2 Grades'!$A$7:$A$58,0))="Graded",INDEX('Quiz 2 Grades'!$M$7:$M$58,MATCH($A46,'Quiz 2 Grades'!$A$7:$A$58,0)),INDEX('Quiz 2 Grades'!$Q$7:$Q$58,MATCH($A46,'Quiz 2 Grades'!$A$7:$A$58,0))),"")</f>
        <v>Missing</v>
      </c>
      <c r="H46" s="15" t="str">
        <f aca="false">IF(ISNUMBER(G46),G46/'Quiz 2 Grades'!$M$5,"")</f>
        <v/>
      </c>
    </row>
    <row r="47" customFormat="false" ht="14.25" hidden="false" customHeight="false" outlineLevel="0" collapsed="false">
      <c r="A47" s="12" t="n">
        <v>43</v>
      </c>
      <c r="B47" s="7" t="s">
        <v>145</v>
      </c>
      <c r="C47" s="7" t="s">
        <v>146</v>
      </c>
      <c r="D47" s="7" t="str">
        <f aca="false">TRIM(C47&amp;" "&amp;B47)</f>
        <v>Emmalie Potter</v>
      </c>
      <c r="E47" s="13"/>
      <c r="F47" s="7" t="str">
        <f aca="false">IF(E47="","Unassigned",IFERROR(IF(INDEX(Groups!$B$5:$B$17,MATCH(E47,Groups!$A$5:$A$17,0))="","Track not set",INDEX(Groups!$B$5:$B$17,MATCH(E47,Groups!$A$5:$A$17,0))),"Group not in table"))</f>
        <v>Unassigned</v>
      </c>
      <c r="G47" s="14" t="str">
        <f aca="false">IFERROR(IF(INDEX('Quiz 2 Grades'!$Q$7:$Q$58,MATCH($A47,'Quiz 2 Grades'!$A$7:$A$58,0))="Graded",INDEX('Quiz 2 Grades'!$M$7:$M$58,MATCH($A47,'Quiz 2 Grades'!$A$7:$A$58,0)),INDEX('Quiz 2 Grades'!$Q$7:$Q$58,MATCH($A47,'Quiz 2 Grades'!$A$7:$A$58,0))),"")</f>
        <v>Missing</v>
      </c>
      <c r="H47" s="15" t="str">
        <f aca="false">IF(ISNUMBER(G47),G47/'Quiz 2 Grades'!$M$5,"")</f>
        <v/>
      </c>
    </row>
    <row r="48" customFormat="false" ht="14.25" hidden="false" customHeight="false" outlineLevel="0" collapsed="false">
      <c r="A48" s="12" t="n">
        <v>44</v>
      </c>
      <c r="B48" s="7" t="s">
        <v>147</v>
      </c>
      <c r="C48" s="7" t="s">
        <v>148</v>
      </c>
      <c r="D48" s="7" t="str">
        <f aca="false">TRIM(C48&amp;" "&amp;B48)</f>
        <v>Luke Presa</v>
      </c>
      <c r="E48" s="13"/>
      <c r="F48" s="7" t="str">
        <f aca="false">IF(E48="","Unassigned",IFERROR(IF(INDEX(Groups!$B$5:$B$17,MATCH(E48,Groups!$A$5:$A$17,0))="","Track not set",INDEX(Groups!$B$5:$B$17,MATCH(E48,Groups!$A$5:$A$17,0))),"Group not in table"))</f>
        <v>Unassigned</v>
      </c>
      <c r="G48" s="14" t="str">
        <f aca="false">IFERROR(IF(INDEX('Quiz 2 Grades'!$Q$7:$Q$58,MATCH($A48,'Quiz 2 Grades'!$A$7:$A$58,0))="Graded",INDEX('Quiz 2 Grades'!$M$7:$M$58,MATCH($A48,'Quiz 2 Grades'!$A$7:$A$58,0)),INDEX('Quiz 2 Grades'!$Q$7:$Q$58,MATCH($A48,'Quiz 2 Grades'!$A$7:$A$58,0))),"")</f>
        <v>Missing</v>
      </c>
      <c r="H48" s="15" t="str">
        <f aca="false">IF(ISNUMBER(G48),G48/'Quiz 2 Grades'!$M$5,"")</f>
        <v/>
      </c>
    </row>
    <row r="49" customFormat="false" ht="14.25" hidden="false" customHeight="false" outlineLevel="0" collapsed="false">
      <c r="A49" s="12" t="n">
        <v>45</v>
      </c>
      <c r="B49" s="7" t="s">
        <v>149</v>
      </c>
      <c r="C49" s="7" t="s">
        <v>150</v>
      </c>
      <c r="D49" s="7" t="str">
        <f aca="false">TRIM(C49&amp;" "&amp;B49)</f>
        <v>Benny Reyes</v>
      </c>
      <c r="E49" s="13"/>
      <c r="F49" s="7" t="str">
        <f aca="false">IF(E49="","Unassigned",IFERROR(IF(INDEX(Groups!$B$5:$B$17,MATCH(E49,Groups!$A$5:$A$17,0))="","Track not set",INDEX(Groups!$B$5:$B$17,MATCH(E49,Groups!$A$5:$A$17,0))),"Group not in table"))</f>
        <v>Unassigned</v>
      </c>
      <c r="G49" s="14" t="str">
        <f aca="false">IFERROR(IF(INDEX('Quiz 2 Grades'!$Q$7:$Q$58,MATCH($A49,'Quiz 2 Grades'!$A$7:$A$58,0))="Graded",INDEX('Quiz 2 Grades'!$M$7:$M$58,MATCH($A49,'Quiz 2 Grades'!$A$7:$A$58,0)),INDEX('Quiz 2 Grades'!$Q$7:$Q$58,MATCH($A49,'Quiz 2 Grades'!$A$7:$A$58,0))),"")</f>
        <v>Missing</v>
      </c>
      <c r="H49" s="15" t="str">
        <f aca="false">IF(ISNUMBER(G49),G49/'Quiz 2 Grades'!$M$5,"")</f>
        <v/>
      </c>
    </row>
    <row r="50" customFormat="false" ht="14.25" hidden="false" customHeight="false" outlineLevel="0" collapsed="false">
      <c r="A50" s="12" t="n">
        <v>46</v>
      </c>
      <c r="B50" s="7" t="s">
        <v>151</v>
      </c>
      <c r="C50" s="7" t="s">
        <v>152</v>
      </c>
      <c r="D50" s="7" t="str">
        <f aca="false">TRIM(C50&amp;" "&amp;B50)</f>
        <v>Noah Rodriguez</v>
      </c>
      <c r="E50" s="13"/>
      <c r="F50" s="7" t="str">
        <f aca="false">IF(E50="","Unassigned",IFERROR(IF(INDEX(Groups!$B$5:$B$17,MATCH(E50,Groups!$A$5:$A$17,0))="","Track not set",INDEX(Groups!$B$5:$B$17,MATCH(E50,Groups!$A$5:$A$17,0))),"Group not in table"))</f>
        <v>Unassigned</v>
      </c>
      <c r="G50" s="14" t="str">
        <f aca="false">IFERROR(IF(INDEX('Quiz 2 Grades'!$Q$7:$Q$58,MATCH($A50,'Quiz 2 Grades'!$A$7:$A$58,0))="Graded",INDEX('Quiz 2 Grades'!$M$7:$M$58,MATCH($A50,'Quiz 2 Grades'!$A$7:$A$58,0)),INDEX('Quiz 2 Grades'!$Q$7:$Q$58,MATCH($A50,'Quiz 2 Grades'!$A$7:$A$58,0))),"")</f>
        <v>Missing</v>
      </c>
      <c r="H50" s="15" t="str">
        <f aca="false">IF(ISNUMBER(G50),G50/'Quiz 2 Grades'!$M$5,"")</f>
        <v/>
      </c>
    </row>
    <row r="51" customFormat="false" ht="14.25" hidden="false" customHeight="false" outlineLevel="0" collapsed="false">
      <c r="A51" s="12" t="n">
        <v>47</v>
      </c>
      <c r="B51" s="7" t="s">
        <v>153</v>
      </c>
      <c r="C51" s="7" t="s">
        <v>154</v>
      </c>
      <c r="D51" s="7" t="str">
        <f aca="false">TRIM(C51&amp;" "&amp;B51)</f>
        <v>Roman Romashkin</v>
      </c>
      <c r="E51" s="13"/>
      <c r="F51" s="7" t="str">
        <f aca="false">IF(E51="","Unassigned",IFERROR(IF(INDEX(Groups!$B$5:$B$17,MATCH(E51,Groups!$A$5:$A$17,0))="","Track not set",INDEX(Groups!$B$5:$B$17,MATCH(E51,Groups!$A$5:$A$17,0))),"Group not in table"))</f>
        <v>Unassigned</v>
      </c>
      <c r="G51" s="14" t="str">
        <f aca="false">IFERROR(IF(INDEX('Quiz 2 Grades'!$Q$7:$Q$58,MATCH($A51,'Quiz 2 Grades'!$A$7:$A$58,0))="Graded",INDEX('Quiz 2 Grades'!$M$7:$M$58,MATCH($A51,'Quiz 2 Grades'!$A$7:$A$58,0)),INDEX('Quiz 2 Grades'!$Q$7:$Q$58,MATCH($A51,'Quiz 2 Grades'!$A$7:$A$58,0))),"")</f>
        <v>Missing</v>
      </c>
      <c r="H51" s="15" t="str">
        <f aca="false">IF(ISNUMBER(G51),G51/'Quiz 2 Grades'!$M$5,"")</f>
        <v/>
      </c>
    </row>
    <row r="52" customFormat="false" ht="14.25" hidden="false" customHeight="false" outlineLevel="0" collapsed="false">
      <c r="A52" s="12" t="n">
        <v>48</v>
      </c>
      <c r="B52" s="7" t="s">
        <v>155</v>
      </c>
      <c r="C52" s="7" t="s">
        <v>156</v>
      </c>
      <c r="D52" s="7" t="str">
        <f aca="false">TRIM(C52&amp;" "&amp;B52)</f>
        <v>Kayra Rushing</v>
      </c>
      <c r="E52" s="13"/>
      <c r="F52" s="7" t="str">
        <f aca="false">IF(E52="","Unassigned",IFERROR(IF(INDEX(Groups!$B$5:$B$17,MATCH(E52,Groups!$A$5:$A$17,0))="","Track not set",INDEX(Groups!$B$5:$B$17,MATCH(E52,Groups!$A$5:$A$17,0))),"Group not in table"))</f>
        <v>Unassigned</v>
      </c>
      <c r="G52" s="14" t="str">
        <f aca="false">IFERROR(IF(INDEX('Quiz 2 Grades'!$Q$7:$Q$58,MATCH($A52,'Quiz 2 Grades'!$A$7:$A$58,0))="Graded",INDEX('Quiz 2 Grades'!$M$7:$M$58,MATCH($A52,'Quiz 2 Grades'!$A$7:$A$58,0)),INDEX('Quiz 2 Grades'!$Q$7:$Q$58,MATCH($A52,'Quiz 2 Grades'!$A$7:$A$58,0))),"")</f>
        <v>Missing</v>
      </c>
      <c r="H52" s="15" t="str">
        <f aca="false">IF(ISNUMBER(G52),G52/'Quiz 2 Grades'!$M$5,"")</f>
        <v/>
      </c>
    </row>
    <row r="53" customFormat="false" ht="14.25" hidden="false" customHeight="false" outlineLevel="0" collapsed="false">
      <c r="A53" s="12" t="n">
        <v>49</v>
      </c>
      <c r="B53" s="7" t="s">
        <v>157</v>
      </c>
      <c r="C53" s="7" t="s">
        <v>158</v>
      </c>
      <c r="D53" s="7" t="str">
        <f aca="false">TRIM(C53&amp;" "&amp;B53)</f>
        <v>Brooke Salada</v>
      </c>
      <c r="E53" s="13"/>
      <c r="F53" s="7" t="str">
        <f aca="false">IF(E53="","Unassigned",IFERROR(IF(INDEX(Groups!$B$5:$B$17,MATCH(E53,Groups!$A$5:$A$17,0))="","Track not set",INDEX(Groups!$B$5:$B$17,MATCH(E53,Groups!$A$5:$A$17,0))),"Group not in table"))</f>
        <v>Unassigned</v>
      </c>
      <c r="G53" s="14" t="str">
        <f aca="false">IFERROR(IF(INDEX('Quiz 2 Grades'!$Q$7:$Q$58,MATCH($A53,'Quiz 2 Grades'!$A$7:$A$58,0))="Graded",INDEX('Quiz 2 Grades'!$M$7:$M$58,MATCH($A53,'Quiz 2 Grades'!$A$7:$A$58,0)),INDEX('Quiz 2 Grades'!$Q$7:$Q$58,MATCH($A53,'Quiz 2 Grades'!$A$7:$A$58,0))),"")</f>
        <v>Missing</v>
      </c>
      <c r="H53" s="15" t="str">
        <f aca="false">IF(ISNUMBER(G53),G53/'Quiz 2 Grades'!$M$5,"")</f>
        <v/>
      </c>
    </row>
    <row r="54" customFormat="false" ht="14.25" hidden="false" customHeight="false" outlineLevel="0" collapsed="false">
      <c r="A54" s="12" t="n">
        <v>50</v>
      </c>
      <c r="B54" s="7" t="s">
        <v>159</v>
      </c>
      <c r="C54" s="7" t="s">
        <v>160</v>
      </c>
      <c r="D54" s="7" t="str">
        <f aca="false">TRIM(C54&amp;" "&amp;B54)</f>
        <v>Haylee Senior</v>
      </c>
      <c r="E54" s="13"/>
      <c r="F54" s="7" t="str">
        <f aca="false">IF(E54="","Unassigned",IFERROR(IF(INDEX(Groups!$B$5:$B$17,MATCH(E54,Groups!$A$5:$A$17,0))="","Track not set",INDEX(Groups!$B$5:$B$17,MATCH(E54,Groups!$A$5:$A$17,0))),"Group not in table"))</f>
        <v>Unassigned</v>
      </c>
      <c r="G54" s="14" t="str">
        <f aca="false">IFERROR(IF(INDEX('Quiz 2 Grades'!$Q$7:$Q$58,MATCH($A54,'Quiz 2 Grades'!$A$7:$A$58,0))="Graded",INDEX('Quiz 2 Grades'!$M$7:$M$58,MATCH($A54,'Quiz 2 Grades'!$A$7:$A$58,0)),INDEX('Quiz 2 Grades'!$Q$7:$Q$58,MATCH($A54,'Quiz 2 Grades'!$A$7:$A$58,0))),"")</f>
        <v>Missing</v>
      </c>
      <c r="H54" s="15" t="str">
        <f aca="false">IF(ISNUMBER(G54),G54/'Quiz 2 Grades'!$M$5,"")</f>
        <v/>
      </c>
    </row>
    <row r="55" customFormat="false" ht="14.25" hidden="false" customHeight="false" outlineLevel="0" collapsed="false">
      <c r="A55" s="12" t="n">
        <v>51</v>
      </c>
      <c r="B55" s="7" t="s">
        <v>161</v>
      </c>
      <c r="C55" s="7" t="s">
        <v>162</v>
      </c>
      <c r="D55" s="7" t="str">
        <f aca="false">TRIM(C55&amp;" "&amp;B55)</f>
        <v>Hayley Tarin</v>
      </c>
      <c r="E55" s="13"/>
      <c r="F55" s="7" t="str">
        <f aca="false">IF(E55="","Unassigned",IFERROR(IF(INDEX(Groups!$B$5:$B$17,MATCH(E55,Groups!$A$5:$A$17,0))="","Track not set",INDEX(Groups!$B$5:$B$17,MATCH(E55,Groups!$A$5:$A$17,0))),"Group not in table"))</f>
        <v>Unassigned</v>
      </c>
      <c r="G55" s="14" t="str">
        <f aca="false">IFERROR(IF(INDEX('Quiz 2 Grades'!$Q$7:$Q$58,MATCH($A55,'Quiz 2 Grades'!$A$7:$A$58,0))="Graded",INDEX('Quiz 2 Grades'!$M$7:$M$58,MATCH($A55,'Quiz 2 Grades'!$A$7:$A$58,0)),INDEX('Quiz 2 Grades'!$Q$7:$Q$58,MATCH($A55,'Quiz 2 Grades'!$A$7:$A$58,0))),"")</f>
        <v>Missing</v>
      </c>
      <c r="H55" s="15" t="str">
        <f aca="false">IF(ISNUMBER(G55),G55/'Quiz 2 Grades'!$M$5,"")</f>
        <v/>
      </c>
    </row>
    <row r="56" customFormat="false" ht="14.25" hidden="false" customHeight="false" outlineLevel="0" collapsed="false">
      <c r="A56" s="12" t="n">
        <v>52</v>
      </c>
      <c r="B56" s="7" t="s">
        <v>163</v>
      </c>
      <c r="C56" s="7" t="s">
        <v>164</v>
      </c>
      <c r="D56" s="7" t="str">
        <f aca="false">TRIM(C56&amp;" "&amp;B56)</f>
        <v>Shaman Wildman</v>
      </c>
      <c r="E56" s="13"/>
      <c r="F56" s="7" t="str">
        <f aca="false">IF(E56="","Unassigned",IFERROR(IF(INDEX(Groups!$B$5:$B$17,MATCH(E56,Groups!$A$5:$A$17,0))="","Track not set",INDEX(Groups!$B$5:$B$17,MATCH(E56,Groups!$A$5:$A$17,0))),"Group not in table"))</f>
        <v>Unassigned</v>
      </c>
      <c r="G56" s="14" t="str">
        <f aca="false">IFERROR(IF(INDEX('Quiz 2 Grades'!$Q$7:$Q$58,MATCH($A56,'Quiz 2 Grades'!$A$7:$A$58,0))="Graded",INDEX('Quiz 2 Grades'!$M$7:$M$58,MATCH($A56,'Quiz 2 Grades'!$A$7:$A$58,0)),INDEX('Quiz 2 Grades'!$Q$7:$Q$58,MATCH($A56,'Quiz 2 Grades'!$A$7:$A$58,0))),"")</f>
        <v>Missing</v>
      </c>
      <c r="H56" s="15" t="str">
        <f aca="false">IF(ISNUMBER(G56),G56/'Quiz 2 Grades'!$M$5,"")</f>
        <v/>
      </c>
    </row>
  </sheetData>
  <autoFilter ref="A4:H56"/>
  <mergeCells count="2">
    <mergeCell ref="A1:H1"/>
    <mergeCell ref="A2:H2"/>
  </mergeCells>
  <conditionalFormatting sqref="A5:D56 F5:H56">
    <cfRule type="expression" priority="2" aboveAverage="0" equalAverage="0" bottom="0" percent="0" rank="0" text="" dxfId="8">
      <formula>MOD(ROW(),2)=0</formula>
    </cfRule>
  </conditionalFormatting>
  <conditionalFormatting sqref="F5:F56">
    <cfRule type="expression" priority="3" aboveAverage="0" equalAverage="0" bottom="0" percent="0" rank="0" text="" dxfId="9">
      <formula>F5="Methylene Blue Removal"</formula>
    </cfRule>
    <cfRule type="expression" priority="4" aboveAverage="0" equalAverage="0" bottom="0" percent="0" rank="0" text="" dxfId="10">
      <formula>F5="Oxygenation"</formula>
    </cfRule>
  </conditionalFormatting>
  <conditionalFormatting sqref="G5:G56">
    <cfRule type="expression" priority="5" aboveAverage="0" equalAverage="0" bottom="0" percent="0" rank="0" text="" dxfId="11">
      <formula>ISTEXT(G5)</formula>
    </cfRule>
  </conditionalFormatting>
  <dataValidations count="1">
    <dataValidation allowBlank="true" error="Pick a group number from the Groups tab (1–13)." errorStyle="stop" errorTitle="Group #" operator="between" prompt="Pick the student's project group" promptTitle="Group #" showDropDown="false" showErrorMessage="true" showInputMessage="true" sqref="E5:E56" type="list">
      <formula1>Groups!$A$5:$A$17</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E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3" min="3" style="0" width="12"/>
    <col collapsed="false" customWidth="true" hidden="false" outlineLevel="0" max="5" min="4" style="0" width="14"/>
  </cols>
  <sheetData>
    <row r="1" customFormat="false" ht="30" hidden="false" customHeight="true" outlineLevel="0" collapsed="false">
      <c r="A1" s="1" t="s">
        <v>165</v>
      </c>
      <c r="B1" s="1"/>
      <c r="C1" s="1"/>
      <c r="D1" s="1"/>
      <c r="E1" s="1"/>
    </row>
    <row r="2" customFormat="false" ht="27.75" hidden="false" customHeight="true" outlineLevel="0" collapsed="false">
      <c r="A2" s="2" t="s">
        <v>166</v>
      </c>
      <c r="B2" s="2"/>
      <c r="C2" s="2"/>
      <c r="D2" s="2"/>
      <c r="E2" s="2"/>
    </row>
    <row r="4" customFormat="false" ht="31.5" hidden="false" customHeight="true" outlineLevel="0" collapsed="false">
      <c r="A4" s="11" t="s">
        <v>58</v>
      </c>
      <c r="B4" s="11" t="s">
        <v>167</v>
      </c>
      <c r="C4" s="11" t="s">
        <v>168</v>
      </c>
      <c r="D4" s="11" t="s">
        <v>169</v>
      </c>
      <c r="E4" s="11" t="s">
        <v>170</v>
      </c>
    </row>
    <row r="5" customFormat="false" ht="14.25" hidden="false" customHeight="false" outlineLevel="0" collapsed="false">
      <c r="A5" s="16" t="n">
        <v>1</v>
      </c>
      <c r="B5" s="6"/>
      <c r="C5" s="17" t="n">
        <f aca="false">COUNTIF(Roster!$E$5:$E$56,A5)</f>
        <v>0</v>
      </c>
      <c r="D5" s="12" t="str">
        <f aca="false">IF(C5=0,"",IF(OR(C5&lt;$C$26,C5&gt;$C$27),"Check size","OK"))</f>
        <v/>
      </c>
      <c r="E5" s="15" t="str">
        <f aca="false">IFERROR(AVERAGEIF(Roster!$E$5:$E$56,A5,Roster!$H$5:$H$56),"")</f>
        <v/>
      </c>
    </row>
    <row r="6" customFormat="false" ht="14.25" hidden="false" customHeight="false" outlineLevel="0" collapsed="false">
      <c r="A6" s="16" t="n">
        <v>2</v>
      </c>
      <c r="B6" s="6"/>
      <c r="C6" s="17" t="n">
        <f aca="false">COUNTIF(Roster!$E$5:$E$56,A6)</f>
        <v>0</v>
      </c>
      <c r="D6" s="12" t="str">
        <f aca="false">IF(C6=0,"",IF(OR(C6&lt;$C$26,C6&gt;$C$27),"Check size","OK"))</f>
        <v/>
      </c>
      <c r="E6" s="15" t="str">
        <f aca="false">IFERROR(AVERAGEIF(Roster!$E$5:$E$56,A6,Roster!$H$5:$H$56),"")</f>
        <v/>
      </c>
    </row>
    <row r="7" customFormat="false" ht="14.25" hidden="false" customHeight="false" outlineLevel="0" collapsed="false">
      <c r="A7" s="16" t="n">
        <v>3</v>
      </c>
      <c r="B7" s="6"/>
      <c r="C7" s="17" t="n">
        <f aca="false">COUNTIF(Roster!$E$5:$E$56,A7)</f>
        <v>0</v>
      </c>
      <c r="D7" s="12" t="str">
        <f aca="false">IF(C7=0,"",IF(OR(C7&lt;$C$26,C7&gt;$C$27),"Check size","OK"))</f>
        <v/>
      </c>
      <c r="E7" s="15" t="str">
        <f aca="false">IFERROR(AVERAGEIF(Roster!$E$5:$E$56,A7,Roster!$H$5:$H$56),"")</f>
        <v/>
      </c>
    </row>
    <row r="8" customFormat="false" ht="14.25" hidden="false" customHeight="false" outlineLevel="0" collapsed="false">
      <c r="A8" s="16" t="n">
        <v>4</v>
      </c>
      <c r="B8" s="6"/>
      <c r="C8" s="17" t="n">
        <f aca="false">COUNTIF(Roster!$E$5:$E$56,A8)</f>
        <v>0</v>
      </c>
      <c r="D8" s="12" t="str">
        <f aca="false">IF(C8=0,"",IF(OR(C8&lt;$C$26,C8&gt;$C$27),"Check size","OK"))</f>
        <v/>
      </c>
      <c r="E8" s="15" t="str">
        <f aca="false">IFERROR(AVERAGEIF(Roster!$E$5:$E$56,A8,Roster!$H$5:$H$56),"")</f>
        <v/>
      </c>
    </row>
    <row r="9" customFormat="false" ht="14.25" hidden="false" customHeight="false" outlineLevel="0" collapsed="false">
      <c r="A9" s="16" t="n">
        <v>5</v>
      </c>
      <c r="B9" s="6"/>
      <c r="C9" s="17" t="n">
        <f aca="false">COUNTIF(Roster!$E$5:$E$56,A9)</f>
        <v>0</v>
      </c>
      <c r="D9" s="12" t="str">
        <f aca="false">IF(C9=0,"",IF(OR(C9&lt;$C$26,C9&gt;$C$27),"Check size","OK"))</f>
        <v/>
      </c>
      <c r="E9" s="15" t="str">
        <f aca="false">IFERROR(AVERAGEIF(Roster!$E$5:$E$56,A9,Roster!$H$5:$H$56),"")</f>
        <v/>
      </c>
    </row>
    <row r="10" customFormat="false" ht="14.25" hidden="false" customHeight="false" outlineLevel="0" collapsed="false">
      <c r="A10" s="16" t="n">
        <v>6</v>
      </c>
      <c r="B10" s="6"/>
      <c r="C10" s="17" t="n">
        <f aca="false">COUNTIF(Roster!$E$5:$E$56,A10)</f>
        <v>0</v>
      </c>
      <c r="D10" s="12" t="str">
        <f aca="false">IF(C10=0,"",IF(OR(C10&lt;$C$26,C10&gt;$C$27),"Check size","OK"))</f>
        <v/>
      </c>
      <c r="E10" s="15" t="str">
        <f aca="false">IFERROR(AVERAGEIF(Roster!$E$5:$E$56,A10,Roster!$H$5:$H$56),"")</f>
        <v/>
      </c>
    </row>
    <row r="11" customFormat="false" ht="14.25" hidden="false" customHeight="false" outlineLevel="0" collapsed="false">
      <c r="A11" s="16" t="n">
        <v>7</v>
      </c>
      <c r="B11" s="6"/>
      <c r="C11" s="17" t="n">
        <f aca="false">COUNTIF(Roster!$E$5:$E$56,A11)</f>
        <v>0</v>
      </c>
      <c r="D11" s="12" t="str">
        <f aca="false">IF(C11=0,"",IF(OR(C11&lt;$C$26,C11&gt;$C$27),"Check size","OK"))</f>
        <v/>
      </c>
      <c r="E11" s="15" t="str">
        <f aca="false">IFERROR(AVERAGEIF(Roster!$E$5:$E$56,A11,Roster!$H$5:$H$56),"")</f>
        <v/>
      </c>
    </row>
    <row r="12" customFormat="false" ht="14.25" hidden="false" customHeight="false" outlineLevel="0" collapsed="false">
      <c r="A12" s="16" t="n">
        <v>8</v>
      </c>
      <c r="B12" s="6"/>
      <c r="C12" s="17" t="n">
        <f aca="false">COUNTIF(Roster!$E$5:$E$56,A12)</f>
        <v>0</v>
      </c>
      <c r="D12" s="12" t="str">
        <f aca="false">IF(C12=0,"",IF(OR(C12&lt;$C$26,C12&gt;$C$27),"Check size","OK"))</f>
        <v/>
      </c>
      <c r="E12" s="15" t="str">
        <f aca="false">IFERROR(AVERAGEIF(Roster!$E$5:$E$56,A12,Roster!$H$5:$H$56),"")</f>
        <v/>
      </c>
    </row>
    <row r="13" customFormat="false" ht="14.25" hidden="false" customHeight="false" outlineLevel="0" collapsed="false">
      <c r="A13" s="16" t="n">
        <v>9</v>
      </c>
      <c r="B13" s="6"/>
      <c r="C13" s="17" t="n">
        <f aca="false">COUNTIF(Roster!$E$5:$E$56,A13)</f>
        <v>0</v>
      </c>
      <c r="D13" s="12" t="str">
        <f aca="false">IF(C13=0,"",IF(OR(C13&lt;$C$26,C13&gt;$C$27),"Check size","OK"))</f>
        <v/>
      </c>
      <c r="E13" s="15" t="str">
        <f aca="false">IFERROR(AVERAGEIF(Roster!$E$5:$E$56,A13,Roster!$H$5:$H$56),"")</f>
        <v/>
      </c>
    </row>
    <row r="14" customFormat="false" ht="14.25" hidden="false" customHeight="false" outlineLevel="0" collapsed="false">
      <c r="A14" s="16" t="n">
        <v>10</v>
      </c>
      <c r="B14" s="6"/>
      <c r="C14" s="17" t="n">
        <f aca="false">COUNTIF(Roster!$E$5:$E$56,A14)</f>
        <v>0</v>
      </c>
      <c r="D14" s="12" t="str">
        <f aca="false">IF(C14=0,"",IF(OR(C14&lt;$C$26,C14&gt;$C$27),"Check size","OK"))</f>
        <v/>
      </c>
      <c r="E14" s="15" t="str">
        <f aca="false">IFERROR(AVERAGEIF(Roster!$E$5:$E$56,A14,Roster!$H$5:$H$56),"")</f>
        <v/>
      </c>
    </row>
    <row r="15" customFormat="false" ht="14.25" hidden="false" customHeight="false" outlineLevel="0" collapsed="false">
      <c r="A15" s="16" t="n">
        <v>11</v>
      </c>
      <c r="B15" s="6"/>
      <c r="C15" s="17" t="n">
        <f aca="false">COUNTIF(Roster!$E$5:$E$56,A15)</f>
        <v>0</v>
      </c>
      <c r="D15" s="12" t="str">
        <f aca="false">IF(C15=0,"",IF(OR(C15&lt;$C$26,C15&gt;$C$27),"Check size","OK"))</f>
        <v/>
      </c>
      <c r="E15" s="15" t="str">
        <f aca="false">IFERROR(AVERAGEIF(Roster!$E$5:$E$56,A15,Roster!$H$5:$H$56),"")</f>
        <v/>
      </c>
    </row>
    <row r="16" customFormat="false" ht="14.25" hidden="false" customHeight="false" outlineLevel="0" collapsed="false">
      <c r="A16" s="16" t="n">
        <v>12</v>
      </c>
      <c r="B16" s="6"/>
      <c r="C16" s="17" t="n">
        <f aca="false">COUNTIF(Roster!$E$5:$E$56,A16)</f>
        <v>0</v>
      </c>
      <c r="D16" s="12" t="str">
        <f aca="false">IF(C16=0,"",IF(OR(C16&lt;$C$26,C16&gt;$C$27),"Check size","OK"))</f>
        <v/>
      </c>
      <c r="E16" s="15" t="str">
        <f aca="false">IFERROR(AVERAGEIF(Roster!$E$5:$E$56,A16,Roster!$H$5:$H$56),"")</f>
        <v/>
      </c>
    </row>
    <row r="17" customFormat="false" ht="14.25" hidden="false" customHeight="false" outlineLevel="0" collapsed="false">
      <c r="A17" s="16" t="n">
        <v>13</v>
      </c>
      <c r="B17" s="6"/>
      <c r="C17" s="17" t="n">
        <f aca="false">COUNTIF(Roster!$E$5:$E$56,A17)</f>
        <v>0</v>
      </c>
      <c r="D17" s="12" t="str">
        <f aca="false">IF(C17=0,"",IF(OR(C17&lt;$C$26,C17&gt;$C$27),"Check size","OK"))</f>
        <v/>
      </c>
      <c r="E17" s="15" t="str">
        <f aca="false">IFERROR(AVERAGEIF(Roster!$E$5:$E$56,A17,Roster!$H$5:$H$56),"")</f>
        <v/>
      </c>
    </row>
    <row r="19" customFormat="false" ht="21.75" hidden="false" customHeight="true" outlineLevel="0" collapsed="false">
      <c r="A19" s="3" t="s">
        <v>171</v>
      </c>
      <c r="B19" s="3"/>
      <c r="C19" s="3"/>
    </row>
    <row r="20" customFormat="false" ht="14.25" hidden="false" customHeight="false" outlineLevel="0" collapsed="false">
      <c r="A20" s="7" t="s">
        <v>172</v>
      </c>
      <c r="B20" s="7"/>
      <c r="C20" s="18" t="n">
        <f aca="false">COUNTA(Roster!$B$5:$B$56)</f>
        <v>52</v>
      </c>
    </row>
    <row r="21" customFormat="false" ht="14.25" hidden="false" customHeight="false" outlineLevel="0" collapsed="false">
      <c r="A21" s="7" t="s">
        <v>173</v>
      </c>
      <c r="B21" s="7"/>
      <c r="C21" s="18" t="n">
        <f aca="false">COUNT(Roster!$E$5:$E$56)</f>
        <v>0</v>
      </c>
    </row>
    <row r="22" customFormat="false" ht="14.25" hidden="false" customHeight="false" outlineLevel="0" collapsed="false">
      <c r="A22" s="7" t="s">
        <v>174</v>
      </c>
      <c r="B22" s="7"/>
      <c r="C22" s="18" t="n">
        <f aca="false">COUNTBLANK(Roster!$E$5:$E$56)</f>
        <v>52</v>
      </c>
    </row>
    <row r="23" customFormat="false" ht="14.25" hidden="false" customHeight="false" outlineLevel="0" collapsed="false">
      <c r="A23" s="7" t="s">
        <v>175</v>
      </c>
      <c r="B23" s="7"/>
      <c r="C23" s="18" t="n">
        <f aca="false">COUNTIF(Roster!$F$5:$F$56,"Methylene Blue Removal")</f>
        <v>0</v>
      </c>
    </row>
    <row r="24" customFormat="false" ht="14.25" hidden="false" customHeight="false" outlineLevel="0" collapsed="false">
      <c r="A24" s="7" t="s">
        <v>176</v>
      </c>
      <c r="B24" s="7"/>
      <c r="C24" s="18" t="n">
        <f aca="false">COUNTIF(Roster!$F$5:$F$56,"Oxygenation")</f>
        <v>0</v>
      </c>
    </row>
    <row r="25" customFormat="false" ht="14.25" hidden="false" customHeight="false" outlineLevel="0" collapsed="false">
      <c r="A25" s="7" t="s">
        <v>177</v>
      </c>
      <c r="B25" s="7"/>
      <c r="C25" s="18" t="n">
        <f aca="false">COUNTIFS($B$5:$B$17,"Methylene Blue Removal",$C$5:$C$17,"&gt;0")</f>
        <v>0</v>
      </c>
    </row>
    <row r="26" customFormat="false" ht="14.25" hidden="false" customHeight="false" outlineLevel="0" collapsed="false">
      <c r="A26" s="7" t="s">
        <v>178</v>
      </c>
      <c r="B26" s="7"/>
      <c r="C26" s="13" t="n">
        <v>4</v>
      </c>
    </row>
    <row r="27" customFormat="false" ht="14.25" hidden="false" customHeight="false" outlineLevel="0" collapsed="false">
      <c r="A27" s="7" t="s">
        <v>179</v>
      </c>
      <c r="B27" s="7"/>
      <c r="C27" s="13" t="n">
        <v>5</v>
      </c>
    </row>
    <row r="28" customFormat="false" ht="14.25" hidden="false" customHeight="false" outlineLevel="0" collapsed="false">
      <c r="A28" s="7" t="s">
        <v>180</v>
      </c>
      <c r="B28" s="7"/>
      <c r="C28" s="18" t="n">
        <f aca="false">ROUNDUP(C20/C27,0)</f>
        <v>11</v>
      </c>
    </row>
  </sheetData>
  <mergeCells count="12">
    <mergeCell ref="A1:E1"/>
    <mergeCell ref="A2:E2"/>
    <mergeCell ref="A19:C19"/>
    <mergeCell ref="A20:B20"/>
    <mergeCell ref="A21:B21"/>
    <mergeCell ref="A22:B22"/>
    <mergeCell ref="A23:B23"/>
    <mergeCell ref="A24:B24"/>
    <mergeCell ref="A25:B25"/>
    <mergeCell ref="A26:B26"/>
    <mergeCell ref="A27:B27"/>
    <mergeCell ref="A28:B28"/>
  </mergeCells>
  <conditionalFormatting sqref="D5:D17">
    <cfRule type="expression" priority="2" aboveAverage="0" equalAverage="0" bottom="0" percent="0" rank="0" text="" dxfId="12">
      <formula>D5="Check size"</formula>
    </cfRule>
  </conditionalFormatting>
  <conditionalFormatting sqref="B5:B17">
    <cfRule type="expression" priority="3" aboveAverage="0" equalAverage="0" bottom="0" percent="0" rank="0" text="" dxfId="9">
      <formula>B5="Methylene Blue Removal"</formula>
    </cfRule>
    <cfRule type="expression" priority="4" aboveAverage="0" equalAverage="0" bottom="0" percent="0" rank="0" text="" dxfId="10">
      <formula>B5="Oxygenation"</formula>
    </cfRule>
  </conditionalFormatting>
  <dataValidations count="1">
    <dataValidation allowBlank="true" error="Pick a value from the list." errorStyle="stop" errorTitle="Invalid entry" operator="between" prompt="Project track for this group" promptTitle="Choose" showDropDown="false" showErrorMessage="true" showInputMessage="true" sqref="B5:B17" type="list">
      <formula1>"Methylene Blue Removal,Oxygenation"</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G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8"/>
    <col collapsed="false" customWidth="true" hidden="false" outlineLevel="0" max="3" min="3" style="0" width="12"/>
    <col collapsed="false" customWidth="true" hidden="false" outlineLevel="0" max="7" min="4" style="0" width="13"/>
  </cols>
  <sheetData>
    <row r="1" customFormat="false" ht="30" hidden="false" customHeight="true" outlineLevel="0" collapsed="false">
      <c r="A1" s="19" t="s">
        <v>181</v>
      </c>
      <c r="B1" s="19"/>
      <c r="C1" s="19"/>
      <c r="D1" s="19"/>
      <c r="E1" s="19"/>
      <c r="F1" s="19"/>
      <c r="G1" s="19"/>
    </row>
    <row r="2" customFormat="false" ht="27.75" hidden="false" customHeight="true" outlineLevel="0" collapsed="false">
      <c r="A2" s="20" t="s">
        <v>182</v>
      </c>
      <c r="B2" s="20"/>
      <c r="C2" s="20"/>
      <c r="D2" s="20"/>
      <c r="E2" s="20"/>
      <c r="F2" s="20"/>
      <c r="G2" s="20"/>
    </row>
    <row r="4" customFormat="false" ht="21.75" hidden="false" customHeight="true" outlineLevel="0" collapsed="false">
      <c r="A4" s="21" t="s">
        <v>183</v>
      </c>
    </row>
    <row r="5" customFormat="false" ht="30" hidden="false" customHeight="true" outlineLevel="0" collapsed="false">
      <c r="A5" s="11" t="s">
        <v>184</v>
      </c>
      <c r="B5" s="11" t="s">
        <v>185</v>
      </c>
      <c r="C5" s="11" t="s">
        <v>186</v>
      </c>
      <c r="D5" s="11" t="s">
        <v>187</v>
      </c>
      <c r="E5" s="11"/>
      <c r="F5" s="11"/>
      <c r="G5" s="11"/>
    </row>
    <row r="6" customFormat="false" ht="30.75" hidden="false" customHeight="true" outlineLevel="0" collapsed="false">
      <c r="A6" s="16" t="s">
        <v>188</v>
      </c>
      <c r="B6" s="22" t="s">
        <v>189</v>
      </c>
      <c r="C6" s="17" t="n">
        <f aca="false">'Quiz 2 Grades'!C5</f>
        <v>15</v>
      </c>
      <c r="D6" s="22" t="s">
        <v>190</v>
      </c>
      <c r="E6" s="22"/>
      <c r="F6" s="22"/>
      <c r="G6" s="22"/>
    </row>
    <row r="7" customFormat="false" ht="30.75" hidden="false" customHeight="true" outlineLevel="0" collapsed="false">
      <c r="A7" s="16" t="s">
        <v>191</v>
      </c>
      <c r="B7" s="22" t="s">
        <v>192</v>
      </c>
      <c r="C7" s="17" t="n">
        <f aca="false">'Quiz 2 Grades'!D5</f>
        <v>6</v>
      </c>
      <c r="D7" s="23" t="s">
        <v>193</v>
      </c>
      <c r="E7" s="23"/>
      <c r="F7" s="23"/>
      <c r="G7" s="23"/>
    </row>
    <row r="8" customFormat="false" ht="30" hidden="false" customHeight="true" outlineLevel="0" collapsed="false">
      <c r="A8" s="16" t="s">
        <v>194</v>
      </c>
      <c r="B8" s="22" t="s">
        <v>195</v>
      </c>
      <c r="C8" s="17" t="n">
        <f aca="false">'Quiz 2 Grades'!E5</f>
        <v>1</v>
      </c>
      <c r="D8" s="22" t="s">
        <v>196</v>
      </c>
      <c r="E8" s="22"/>
      <c r="F8" s="22"/>
      <c r="G8" s="22"/>
    </row>
    <row r="9" customFormat="false" ht="30.75" hidden="false" customHeight="true" outlineLevel="0" collapsed="false">
      <c r="A9" s="16" t="s">
        <v>197</v>
      </c>
      <c r="B9" s="22" t="s">
        <v>198</v>
      </c>
      <c r="C9" s="17" t="n">
        <f aca="false">'Quiz 2 Grades'!F5</f>
        <v>3</v>
      </c>
      <c r="D9" s="22" t="s">
        <v>199</v>
      </c>
      <c r="E9" s="22"/>
      <c r="F9" s="22"/>
      <c r="G9" s="22"/>
    </row>
    <row r="10" customFormat="false" ht="30.75" hidden="false" customHeight="true" outlineLevel="0" collapsed="false">
      <c r="A10" s="16" t="s">
        <v>200</v>
      </c>
      <c r="B10" s="22" t="s">
        <v>201</v>
      </c>
      <c r="C10" s="17" t="n">
        <f aca="false">'Quiz 2 Grades'!G5</f>
        <v>10</v>
      </c>
      <c r="D10" s="22" t="s">
        <v>202</v>
      </c>
      <c r="E10" s="22"/>
      <c r="F10" s="22"/>
      <c r="G10" s="22"/>
    </row>
    <row r="11" customFormat="false" ht="30" hidden="false" customHeight="true" outlineLevel="0" collapsed="false">
      <c r="A11" s="16" t="s">
        <v>203</v>
      </c>
      <c r="B11" s="22" t="s">
        <v>204</v>
      </c>
      <c r="C11" s="17" t="n">
        <f aca="false">'Quiz 2 Grades'!I5</f>
        <v>5</v>
      </c>
      <c r="D11" s="22" t="s">
        <v>205</v>
      </c>
      <c r="E11" s="22"/>
      <c r="F11" s="22"/>
      <c r="G11" s="22"/>
    </row>
    <row r="12" customFormat="false" ht="30.75" hidden="false" customHeight="true" outlineLevel="0" collapsed="false">
      <c r="A12" s="16" t="s">
        <v>206</v>
      </c>
      <c r="B12" s="22" t="s">
        <v>207</v>
      </c>
      <c r="C12" s="17" t="n">
        <f aca="false">'Quiz 2 Grades'!J5</f>
        <v>5</v>
      </c>
      <c r="D12" s="22" t="s">
        <v>208</v>
      </c>
      <c r="E12" s="22"/>
      <c r="F12" s="22"/>
      <c r="G12" s="22"/>
    </row>
    <row r="13" customFormat="false" ht="30" hidden="false" customHeight="true" outlineLevel="0" collapsed="false">
      <c r="A13" s="16" t="s">
        <v>209</v>
      </c>
      <c r="B13" s="22" t="s">
        <v>210</v>
      </c>
      <c r="C13" s="17" t="n">
        <f aca="false">'Quiz 2 Grades'!K5</f>
        <v>5</v>
      </c>
      <c r="D13" s="22" t="s">
        <v>211</v>
      </c>
      <c r="E13" s="22"/>
      <c r="F13" s="22"/>
      <c r="G13" s="22"/>
    </row>
    <row r="14" customFormat="false" ht="15" hidden="false" customHeight="true" outlineLevel="0" collapsed="false">
      <c r="A14" s="24" t="s">
        <v>212</v>
      </c>
      <c r="B14" s="25" t="s">
        <v>213</v>
      </c>
      <c r="C14" s="24" t="n">
        <f aca="false">SUM(C6:C10)</f>
        <v>35</v>
      </c>
      <c r="D14" s="26" t="s">
        <v>214</v>
      </c>
      <c r="E14" s="26"/>
      <c r="F14" s="26"/>
      <c r="G14" s="26"/>
    </row>
    <row r="15" customFormat="false" ht="15" hidden="false" customHeight="true" outlineLevel="0" collapsed="false">
      <c r="A15" s="24" t="s">
        <v>215</v>
      </c>
      <c r="B15" s="25" t="s">
        <v>216</v>
      </c>
      <c r="C15" s="24" t="n">
        <f aca="false">SUM(C11:C13)</f>
        <v>15</v>
      </c>
      <c r="D15" s="26" t="s">
        <v>217</v>
      </c>
      <c r="E15" s="26"/>
      <c r="F15" s="26"/>
      <c r="G15" s="26"/>
    </row>
    <row r="16" customFormat="false" ht="15" hidden="false" customHeight="false" outlineLevel="0" collapsed="false">
      <c r="A16" s="24" t="s">
        <v>218</v>
      </c>
      <c r="B16" s="25" t="s">
        <v>219</v>
      </c>
      <c r="C16" s="24" t="n">
        <f aca="false">C14+C15</f>
        <v>50</v>
      </c>
      <c r="D16" s="25" t="str">
        <f aca="false">IF(AND(C14=35,C15=15),"✔ Matches the key (35 + 15 = 50)","✘ Differs from the key (35 + 15 = 50) — check row 5 of Quiz 2 Grades")</f>
        <v>✔ Matches the key (35 + 15 = 50)</v>
      </c>
      <c r="E16" s="25"/>
      <c r="F16" s="25"/>
      <c r="G16" s="25"/>
    </row>
    <row r="18" customFormat="false" ht="21.75" hidden="false" customHeight="true" outlineLevel="0" collapsed="false">
      <c r="A18" s="21" t="s">
        <v>220</v>
      </c>
    </row>
    <row r="19" customFormat="false" ht="21.75" hidden="false" customHeight="true" outlineLevel="0" collapsed="false">
      <c r="A19" s="27" t="str">
        <f aca="false">"1.1  Weighted objective tree — "&amp;'Quiz 2 Grades'!C5&amp;" pts"</f>
        <v>1.1  Weighted objective tree — 15 pts</v>
      </c>
      <c r="B19" s="27"/>
      <c r="C19" s="27"/>
      <c r="D19" s="27"/>
      <c r="E19" s="27"/>
      <c r="F19" s="27"/>
      <c r="G19" s="27"/>
    </row>
    <row r="20" customFormat="false" ht="44.25" hidden="false" customHeight="true" outlineLevel="0" collapsed="false">
      <c r="A20" s="16" t="s">
        <v>221</v>
      </c>
      <c r="B20" s="22" t="s">
        <v>222</v>
      </c>
      <c r="C20" s="22"/>
      <c r="D20" s="22"/>
      <c r="E20" s="22"/>
      <c r="F20" s="22"/>
      <c r="G20" s="22"/>
    </row>
    <row r="21" customFormat="false" ht="57.75" hidden="false" customHeight="true" outlineLevel="0" collapsed="false">
      <c r="A21" s="16" t="s">
        <v>223</v>
      </c>
      <c r="B21" s="22" t="s">
        <v>224</v>
      </c>
      <c r="C21" s="22"/>
      <c r="D21" s="22"/>
      <c r="E21" s="22"/>
      <c r="F21" s="22"/>
      <c r="G21" s="22"/>
    </row>
    <row r="22" customFormat="false" ht="30" hidden="false" customHeight="true" outlineLevel="0" collapsed="false">
      <c r="A22" s="11" t="s">
        <v>225</v>
      </c>
      <c r="B22" s="11" t="s">
        <v>226</v>
      </c>
      <c r="C22" s="11" t="s">
        <v>227</v>
      </c>
      <c r="D22" s="11" t="s">
        <v>228</v>
      </c>
      <c r="E22" s="11" t="s">
        <v>229</v>
      </c>
      <c r="F22" s="11" t="s">
        <v>230</v>
      </c>
    </row>
    <row r="23" customFormat="false" ht="15" hidden="false" customHeight="false" outlineLevel="0" collapsed="false">
      <c r="A23" s="17" t="n">
        <v>0</v>
      </c>
      <c r="B23" s="28" t="s">
        <v>231</v>
      </c>
      <c r="C23" s="29" t="n">
        <v>1</v>
      </c>
      <c r="D23" s="29" t="n">
        <v>1</v>
      </c>
      <c r="E23" s="30" t="n">
        <f aca="false">C23</f>
        <v>1</v>
      </c>
      <c r="F23" s="12" t="str">
        <f aca="false">IF(ROUND(E23-D23,6)=0,"✔","✘ check")</f>
        <v>✔</v>
      </c>
    </row>
    <row r="24" customFormat="false" ht="15" hidden="false" customHeight="false" outlineLevel="0" collapsed="false">
      <c r="A24" s="17" t="n">
        <v>1</v>
      </c>
      <c r="B24" s="31" t="s">
        <v>232</v>
      </c>
      <c r="C24" s="29" t="n">
        <v>0.3</v>
      </c>
      <c r="D24" s="29" t="n">
        <v>0.3</v>
      </c>
      <c r="E24" s="30" t="n">
        <f aca="false">D23*C24</f>
        <v>0.3</v>
      </c>
      <c r="F24" s="12" t="str">
        <f aca="false">IF(ROUND(E24-D24,6)=0,"✔","✘ check")</f>
        <v>✔</v>
      </c>
    </row>
    <row r="25" customFormat="false" ht="15" hidden="false" customHeight="false" outlineLevel="0" collapsed="false">
      <c r="A25" s="17" t="n">
        <v>2</v>
      </c>
      <c r="B25" s="32" t="s">
        <v>233</v>
      </c>
      <c r="C25" s="29" t="n">
        <v>0.5</v>
      </c>
      <c r="D25" s="29" t="n">
        <v>0.15</v>
      </c>
      <c r="E25" s="30" t="n">
        <f aca="false">D24*C25</f>
        <v>0.15</v>
      </c>
      <c r="F25" s="12" t="str">
        <f aca="false">IF(ROUND(E25-D25,6)=0,"✔","✘ check")</f>
        <v>✔</v>
      </c>
    </row>
    <row r="26" customFormat="false" ht="15" hidden="false" customHeight="false" outlineLevel="0" collapsed="false">
      <c r="A26" s="17" t="n">
        <v>2</v>
      </c>
      <c r="B26" s="32" t="s">
        <v>234</v>
      </c>
      <c r="C26" s="29" t="n">
        <v>0.5</v>
      </c>
      <c r="D26" s="29" t="n">
        <v>0.15</v>
      </c>
      <c r="E26" s="30" t="n">
        <f aca="false">D24*C26</f>
        <v>0.15</v>
      </c>
      <c r="F26" s="12" t="str">
        <f aca="false">IF(ROUND(E26-D26,6)=0,"✔","✘ check")</f>
        <v>✔</v>
      </c>
    </row>
    <row r="27" customFormat="false" ht="15" hidden="false" customHeight="false" outlineLevel="0" collapsed="false">
      <c r="A27" s="17" t="n">
        <v>1</v>
      </c>
      <c r="B27" s="31" t="s">
        <v>235</v>
      </c>
      <c r="C27" s="29" t="n">
        <v>0.5</v>
      </c>
      <c r="D27" s="29" t="n">
        <v>0.5</v>
      </c>
      <c r="E27" s="30" t="n">
        <f aca="false">D23*C27</f>
        <v>0.5</v>
      </c>
      <c r="F27" s="12" t="str">
        <f aca="false">IF(ROUND(E27-D27,6)=0,"✔","✘ check")</f>
        <v>✔</v>
      </c>
    </row>
    <row r="28" customFormat="false" ht="15" hidden="false" customHeight="false" outlineLevel="0" collapsed="false">
      <c r="A28" s="17" t="n">
        <v>2</v>
      </c>
      <c r="B28" s="32" t="s">
        <v>236</v>
      </c>
      <c r="C28" s="29" t="n">
        <v>0.8</v>
      </c>
      <c r="D28" s="29" t="n">
        <v>0.4</v>
      </c>
      <c r="E28" s="30" t="n">
        <f aca="false">D27*C28</f>
        <v>0.4</v>
      </c>
      <c r="F28" s="12" t="str">
        <f aca="false">IF(ROUND(E28-D28,6)=0,"✔","✘ check")</f>
        <v>✔</v>
      </c>
    </row>
    <row r="29" customFormat="false" ht="15" hidden="false" customHeight="false" outlineLevel="0" collapsed="false">
      <c r="A29" s="17" t="n">
        <v>2</v>
      </c>
      <c r="B29" s="32" t="s">
        <v>237</v>
      </c>
      <c r="C29" s="29" t="n">
        <v>0.2</v>
      </c>
      <c r="D29" s="29" t="n">
        <v>0.1</v>
      </c>
      <c r="E29" s="30" t="n">
        <f aca="false">D27*C29</f>
        <v>0.1</v>
      </c>
      <c r="F29" s="12" t="str">
        <f aca="false">IF(ROUND(E29-D29,6)=0,"✔","✘ check")</f>
        <v>✔</v>
      </c>
    </row>
    <row r="30" customFormat="false" ht="15" hidden="false" customHeight="false" outlineLevel="0" collapsed="false">
      <c r="A30" s="17" t="n">
        <v>1</v>
      </c>
      <c r="B30" s="31" t="s">
        <v>238</v>
      </c>
      <c r="C30" s="29" t="n">
        <v>0.2</v>
      </c>
      <c r="D30" s="29" t="n">
        <v>0.2</v>
      </c>
      <c r="E30" s="30" t="n">
        <f aca="false">D23*C30</f>
        <v>0.2</v>
      </c>
      <c r="F30" s="12" t="str">
        <f aca="false">IF(ROUND(E30-D30,6)=0,"✔","✘ check")</f>
        <v>✔</v>
      </c>
    </row>
    <row r="31" customFormat="false" ht="15" hidden="false" customHeight="false" outlineLevel="0" collapsed="false">
      <c r="A31" s="17" t="n">
        <v>2</v>
      </c>
      <c r="B31" s="32" t="s">
        <v>239</v>
      </c>
      <c r="C31" s="29" t="n">
        <v>0.3</v>
      </c>
      <c r="D31" s="29" t="n">
        <v>0.06</v>
      </c>
      <c r="E31" s="30" t="n">
        <f aca="false">D30*C31</f>
        <v>0.06</v>
      </c>
      <c r="F31" s="12" t="str">
        <f aca="false">IF(ROUND(E31-D31,6)=0,"✔","✘ check")</f>
        <v>✔</v>
      </c>
    </row>
    <row r="32" customFormat="false" ht="15" hidden="false" customHeight="false" outlineLevel="0" collapsed="false">
      <c r="A32" s="17" t="n">
        <v>2</v>
      </c>
      <c r="B32" s="32" t="s">
        <v>240</v>
      </c>
      <c r="C32" s="29" t="n">
        <v>0.3</v>
      </c>
      <c r="D32" s="29" t="n">
        <v>0.06</v>
      </c>
      <c r="E32" s="30" t="n">
        <f aca="false">D30*C32</f>
        <v>0.06</v>
      </c>
      <c r="F32" s="12" t="str">
        <f aca="false">IF(ROUND(E32-D32,6)=0,"✔","✘ check")</f>
        <v>✔</v>
      </c>
    </row>
    <row r="33" customFormat="false" ht="15" hidden="false" customHeight="false" outlineLevel="0" collapsed="false">
      <c r="A33" s="17" t="n">
        <v>2</v>
      </c>
      <c r="B33" s="32" t="s">
        <v>241</v>
      </c>
      <c r="C33" s="29" t="n">
        <v>0.4</v>
      </c>
      <c r="D33" s="29" t="n">
        <v>0.08</v>
      </c>
      <c r="E33" s="30" t="n">
        <f aca="false">D30*C33</f>
        <v>0.08</v>
      </c>
      <c r="F33" s="12" t="str">
        <f aca="false">IF(ROUND(E33-D33,6)=0,"✔","✘ check")</f>
        <v>✔</v>
      </c>
    </row>
    <row r="34" customFormat="false" ht="15" hidden="false" customHeight="false" outlineLevel="0" collapsed="false">
      <c r="A34" s="26"/>
      <c r="B34" s="25" t="s">
        <v>242</v>
      </c>
      <c r="C34" s="26"/>
      <c r="D34" s="33" t="n">
        <f aca="false">D25+D26+D28+D29+D31+D32+D33</f>
        <v>1</v>
      </c>
      <c r="E34" s="33" t="n">
        <f aca="false">E25+E26+E28+E29+E31+E32+E33</f>
        <v>1</v>
      </c>
      <c r="F34" s="24" t="str">
        <f aca="false">IF(ROUND(D34-1,6)=0,"✔ = 1","✘ check")</f>
        <v>✔ = 1</v>
      </c>
    </row>
    <row r="36" customFormat="false" ht="21.75" hidden="false" customHeight="true" outlineLevel="0" collapsed="false">
      <c r="A36" s="27" t="str">
        <f aca="false">"1.2  Pugh chart, blood pressure monitor — a) "&amp;'Quiz 2 Grades'!D5&amp;" pts · b) "&amp;'Quiz 2 Grades'!E5&amp;" pt · c) "&amp;'Quiz 2 Grades'!F5&amp;" pts"</f>
        <v>1.2  Pugh chart, blood pressure monitor — a) 6 pts · b) 1 pt · c) 3 pts</v>
      </c>
      <c r="B36" s="27"/>
      <c r="C36" s="27"/>
      <c r="D36" s="27"/>
      <c r="E36" s="27"/>
      <c r="F36" s="27"/>
      <c r="G36" s="27"/>
    </row>
    <row r="37" customFormat="false" ht="44.25" hidden="false" customHeight="true" outlineLevel="0" collapsed="false">
      <c r="A37" s="16" t="s">
        <v>243</v>
      </c>
      <c r="B37" s="22" t="s">
        <v>244</v>
      </c>
      <c r="C37" s="22"/>
      <c r="D37" s="22"/>
      <c r="E37" s="22"/>
      <c r="F37" s="22"/>
      <c r="G37" s="22"/>
    </row>
    <row r="38" customFormat="false" ht="57.75" hidden="false" customHeight="true" outlineLevel="0" collapsed="false">
      <c r="A38" s="34" t="s">
        <v>245</v>
      </c>
      <c r="B38" s="23" t="s">
        <v>246</v>
      </c>
      <c r="C38" s="23"/>
      <c r="D38" s="23"/>
      <c r="E38" s="23"/>
      <c r="F38" s="23"/>
      <c r="G38" s="23"/>
    </row>
    <row r="39" customFormat="false" ht="30.75" hidden="false" customHeight="true" outlineLevel="0" collapsed="false">
      <c r="A39" s="16" t="s">
        <v>247</v>
      </c>
      <c r="B39" s="22" t="s">
        <v>248</v>
      </c>
      <c r="C39" s="22"/>
      <c r="D39" s="22"/>
      <c r="E39" s="22"/>
      <c r="F39" s="22"/>
      <c r="G39" s="22"/>
    </row>
    <row r="40" customFormat="false" ht="18" hidden="false" customHeight="true" outlineLevel="0" collapsed="false">
      <c r="A40" s="16" t="s">
        <v>249</v>
      </c>
      <c r="B40" s="22" t="s">
        <v>196</v>
      </c>
      <c r="C40" s="22"/>
      <c r="D40" s="22"/>
      <c r="E40" s="22"/>
      <c r="F40" s="22"/>
      <c r="G40" s="22"/>
    </row>
    <row r="41" customFormat="false" ht="18" hidden="false" customHeight="true" outlineLevel="0" collapsed="false">
      <c r="A41" s="16" t="s">
        <v>250</v>
      </c>
      <c r="B41" s="22" t="s">
        <v>251</v>
      </c>
      <c r="C41" s="22"/>
      <c r="D41" s="22"/>
      <c r="E41" s="22"/>
      <c r="F41" s="22"/>
      <c r="G41" s="22"/>
    </row>
    <row r="42" customFormat="false" ht="30.75" hidden="false" customHeight="true" outlineLevel="0" collapsed="false">
      <c r="A42" s="16" t="s">
        <v>252</v>
      </c>
      <c r="B42" s="22" t="s">
        <v>253</v>
      </c>
      <c r="C42" s="22"/>
      <c r="D42" s="22"/>
      <c r="E42" s="22"/>
      <c r="F42" s="22"/>
      <c r="G42" s="22"/>
    </row>
    <row r="43" customFormat="false" ht="44.25" hidden="false" customHeight="true" outlineLevel="0" collapsed="false">
      <c r="A43" s="16" t="s">
        <v>254</v>
      </c>
      <c r="B43" s="22" t="s">
        <v>255</v>
      </c>
      <c r="C43" s="22"/>
      <c r="D43" s="22"/>
      <c r="E43" s="22"/>
      <c r="F43" s="22"/>
      <c r="G43" s="22"/>
    </row>
    <row r="44" customFormat="false" ht="30" hidden="false" customHeight="true" outlineLevel="0" collapsed="false">
      <c r="A44" s="11" t="s">
        <v>256</v>
      </c>
      <c r="B44" s="11" t="s">
        <v>257</v>
      </c>
      <c r="C44" s="11" t="s">
        <v>258</v>
      </c>
      <c r="D44" s="11" t="s">
        <v>259</v>
      </c>
      <c r="E44" s="11" t="s">
        <v>196</v>
      </c>
      <c r="F44" s="11" t="s">
        <v>260</v>
      </c>
      <c r="G44" s="11" t="s">
        <v>261</v>
      </c>
    </row>
    <row r="45" customFormat="false" ht="15.75" hidden="false" customHeight="true" outlineLevel="0" collapsed="false">
      <c r="A45" s="35" t="s">
        <v>262</v>
      </c>
      <c r="B45" s="36" t="s">
        <v>263</v>
      </c>
      <c r="C45" s="13" t="n">
        <v>5</v>
      </c>
      <c r="D45" s="37" t="n">
        <v>0</v>
      </c>
      <c r="E45" s="37" t="n">
        <v>0</v>
      </c>
      <c r="F45" s="37" t="n">
        <v>-1</v>
      </c>
      <c r="G45" s="37" t="n">
        <v>-2</v>
      </c>
    </row>
    <row r="46" customFormat="false" ht="15.75" hidden="false" customHeight="true" outlineLevel="0" collapsed="false">
      <c r="A46" s="35"/>
      <c r="B46" s="36" t="s">
        <v>264</v>
      </c>
      <c r="C46" s="13" t="n">
        <v>3</v>
      </c>
      <c r="D46" s="37" t="n">
        <v>0</v>
      </c>
      <c r="E46" s="37" t="n">
        <v>2</v>
      </c>
      <c r="F46" s="37" t="n">
        <v>2</v>
      </c>
      <c r="G46" s="37" t="n">
        <v>2</v>
      </c>
    </row>
    <row r="47" customFormat="false" ht="15.75" hidden="false" customHeight="true" outlineLevel="0" collapsed="false">
      <c r="A47" s="35"/>
      <c r="B47" s="36" t="s">
        <v>265</v>
      </c>
      <c r="C47" s="13" t="n">
        <v>4</v>
      </c>
      <c r="D47" s="37" t="n">
        <v>0</v>
      </c>
      <c r="E47" s="37" t="n">
        <v>-1</v>
      </c>
      <c r="F47" s="37" t="n">
        <v>-1</v>
      </c>
      <c r="G47" s="37" t="n">
        <v>-2</v>
      </c>
    </row>
    <row r="48" customFormat="false" ht="15.75" hidden="false" customHeight="true" outlineLevel="0" collapsed="false">
      <c r="A48" s="35"/>
      <c r="B48" s="36" t="s">
        <v>266</v>
      </c>
      <c r="C48" s="13" t="n">
        <v>2</v>
      </c>
      <c r="D48" s="37" t="n">
        <v>0</v>
      </c>
      <c r="E48" s="37" t="n">
        <v>1</v>
      </c>
      <c r="F48" s="37" t="n">
        <v>1</v>
      </c>
      <c r="G48" s="37" t="n">
        <v>2</v>
      </c>
    </row>
    <row r="49" customFormat="false" ht="15.75" hidden="false" customHeight="true" outlineLevel="0" collapsed="false">
      <c r="A49" s="35"/>
      <c r="B49" s="36" t="s">
        <v>267</v>
      </c>
      <c r="C49" s="13" t="n">
        <v>2</v>
      </c>
      <c r="D49" s="37" t="n">
        <v>0</v>
      </c>
      <c r="E49" s="37" t="n">
        <v>0</v>
      </c>
      <c r="F49" s="37" t="n">
        <v>1</v>
      </c>
      <c r="G49" s="37" t="n">
        <v>2</v>
      </c>
    </row>
    <row r="50" customFormat="false" ht="15" hidden="false" customHeight="false" outlineLevel="0" collapsed="false">
      <c r="A50" s="26"/>
      <c r="B50" s="25" t="s">
        <v>268</v>
      </c>
      <c r="C50" s="26"/>
      <c r="D50" s="24" t="n">
        <f aca="false">SUMPRODUCT($C$45:$C$49,D45:D49)</f>
        <v>0</v>
      </c>
      <c r="E50" s="24" t="n">
        <f aca="false">SUMPRODUCT($C$45:$C$49,E45:E49)</f>
        <v>4</v>
      </c>
      <c r="F50" s="24" t="n">
        <f aca="false">SUMPRODUCT($C$45:$C$49,F45:F49)</f>
        <v>1</v>
      </c>
      <c r="G50" s="24" t="n">
        <f aca="false">SUMPRODUCT($C$45:$C$49,G45:G49)</f>
        <v>-4</v>
      </c>
    </row>
    <row r="51" customFormat="false" ht="15" hidden="false" customHeight="false" outlineLevel="0" collapsed="false">
      <c r="A51" s="26"/>
      <c r="B51" s="25" t="s">
        <v>269</v>
      </c>
      <c r="C51" s="26"/>
      <c r="D51" s="38" t="n">
        <v>0</v>
      </c>
      <c r="E51" s="38" t="n">
        <v>2</v>
      </c>
      <c r="F51" s="38" t="n">
        <v>1</v>
      </c>
      <c r="G51" s="38" t="n">
        <v>-4</v>
      </c>
    </row>
    <row r="52" customFormat="false" ht="15" hidden="false" customHeight="false" outlineLevel="0" collapsed="false">
      <c r="A52" s="22"/>
      <c r="B52" s="36" t="s">
        <v>270</v>
      </c>
      <c r="C52" s="22"/>
      <c r="D52" s="16" t="str">
        <f aca="false">IF(D50=D51,"✔","✘ check")</f>
        <v>✔</v>
      </c>
      <c r="E52" s="16" t="str">
        <f aca="false">IF(E50=E51,"✔","✘ check")</f>
        <v>✘ check</v>
      </c>
      <c r="F52" s="16" t="str">
        <f aca="false">IF(F50=F51,"✔","✘ check")</f>
        <v>✔</v>
      </c>
      <c r="G52" s="16" t="str">
        <f aca="false">IF(G50=G51,"✔","✘ check")</f>
        <v>✔</v>
      </c>
    </row>
    <row r="54" customFormat="false" ht="21.75" hidden="false" customHeight="true" outlineLevel="0" collapsed="false">
      <c r="A54" s="27" t="str">
        <f aca="false">"1.3  Water filter weights for a new client — "&amp;'Quiz 2 Grades'!G5&amp;" pts"</f>
        <v>1.3  Water filter weights for a new client — 10 pts</v>
      </c>
      <c r="B54" s="27"/>
      <c r="C54" s="27"/>
      <c r="D54" s="27"/>
      <c r="E54" s="27"/>
      <c r="F54" s="27"/>
      <c r="G54" s="27"/>
    </row>
    <row r="55" customFormat="false" ht="44.25" hidden="false" customHeight="true" outlineLevel="0" collapsed="false">
      <c r="A55" s="16" t="s">
        <v>221</v>
      </c>
      <c r="B55" s="22" t="s">
        <v>271</v>
      </c>
      <c r="C55" s="22"/>
      <c r="D55" s="22"/>
      <c r="E55" s="22"/>
      <c r="F55" s="22"/>
      <c r="G55" s="22"/>
    </row>
    <row r="56" customFormat="false" ht="44.25" hidden="false" customHeight="true" outlineLevel="0" collapsed="false">
      <c r="A56" s="16" t="s">
        <v>223</v>
      </c>
      <c r="B56" s="22" t="s">
        <v>272</v>
      </c>
      <c r="C56" s="22"/>
      <c r="D56" s="22"/>
      <c r="E56" s="22"/>
      <c r="F56" s="22"/>
      <c r="G56" s="22"/>
    </row>
    <row r="58" customFormat="false" ht="21.75" hidden="false" customHeight="true" outlineLevel="0" collapsed="false">
      <c r="A58" s="27" t="str">
        <f aca="false">"2  Multiple choice — "&amp;'Quiz 2 Grades'!L5&amp;" pts (5 each)"</f>
        <v>2  Multiple choice — 15 pts (5 each)</v>
      </c>
      <c r="B58" s="27"/>
      <c r="C58" s="27"/>
      <c r="D58" s="27"/>
      <c r="E58" s="27"/>
      <c r="F58" s="27"/>
      <c r="G58" s="27"/>
    </row>
    <row r="59" customFormat="false" ht="18" hidden="false" customHeight="true" outlineLevel="0" collapsed="false">
      <c r="A59" s="16" t="s">
        <v>203</v>
      </c>
      <c r="B59" s="22" t="s">
        <v>273</v>
      </c>
      <c r="C59" s="22"/>
      <c r="D59" s="22"/>
      <c r="E59" s="22"/>
      <c r="F59" s="22"/>
      <c r="G59" s="22"/>
    </row>
    <row r="60" customFormat="false" ht="30.75" hidden="false" customHeight="true" outlineLevel="0" collapsed="false">
      <c r="A60" s="16" t="s">
        <v>206</v>
      </c>
      <c r="B60" s="22" t="s">
        <v>274</v>
      </c>
      <c r="C60" s="22"/>
      <c r="D60" s="22"/>
      <c r="E60" s="22"/>
      <c r="F60" s="22"/>
      <c r="G60" s="22"/>
    </row>
    <row r="61" customFormat="false" ht="18" hidden="false" customHeight="true" outlineLevel="0" collapsed="false">
      <c r="A61" s="16" t="s">
        <v>209</v>
      </c>
      <c r="B61" s="22" t="s">
        <v>275</v>
      </c>
      <c r="C61" s="22"/>
      <c r="D61" s="22"/>
      <c r="E61" s="22"/>
      <c r="F61" s="22"/>
      <c r="G61" s="22"/>
    </row>
    <row r="62" customFormat="false" ht="18" hidden="false" customHeight="true" outlineLevel="0" collapsed="false">
      <c r="A62" s="16" t="s">
        <v>223</v>
      </c>
      <c r="B62" s="22" t="s">
        <v>276</v>
      </c>
      <c r="C62" s="22"/>
      <c r="D62" s="22"/>
      <c r="E62" s="22"/>
      <c r="F62" s="22"/>
      <c r="G62" s="22"/>
    </row>
  </sheetData>
  <mergeCells count="34">
    <mergeCell ref="A1:G1"/>
    <mergeCell ref="A2:G2"/>
    <mergeCell ref="D5:G5"/>
    <mergeCell ref="D6:G6"/>
    <mergeCell ref="D7:G7"/>
    <mergeCell ref="D8:G8"/>
    <mergeCell ref="D9:G9"/>
    <mergeCell ref="D10:G10"/>
    <mergeCell ref="D11:G11"/>
    <mergeCell ref="D12:G12"/>
    <mergeCell ref="D13:G13"/>
    <mergeCell ref="D14:G14"/>
    <mergeCell ref="D15:G15"/>
    <mergeCell ref="D16:G16"/>
    <mergeCell ref="A19:G19"/>
    <mergeCell ref="B20:G20"/>
    <mergeCell ref="B21:G21"/>
    <mergeCell ref="A36:G36"/>
    <mergeCell ref="B37:G37"/>
    <mergeCell ref="B38:G38"/>
    <mergeCell ref="B39:G39"/>
    <mergeCell ref="B40:G40"/>
    <mergeCell ref="B41:G41"/>
    <mergeCell ref="B42:G42"/>
    <mergeCell ref="B43:G43"/>
    <mergeCell ref="A45:A49"/>
    <mergeCell ref="A54:G54"/>
    <mergeCell ref="B55:G55"/>
    <mergeCell ref="B56:G56"/>
    <mergeCell ref="A58:G58"/>
    <mergeCell ref="B59:G59"/>
    <mergeCell ref="B60:G60"/>
    <mergeCell ref="B61:G61"/>
    <mergeCell ref="B62:G62"/>
  </mergeCells>
  <conditionalFormatting sqref="F23:F34">
    <cfRule type="expression" priority="2" aboveAverage="0" equalAverage="0" bottom="0" percent="0" rank="0" text="" dxfId="13">
      <formula>LEFT(F23,1)="✔"</formula>
    </cfRule>
    <cfRule type="expression" priority="3" aboveAverage="0" equalAverage="0" bottom="0" percent="0" rank="0" text="" dxfId="14">
      <formula>LEFT(F23,1)="✘"</formula>
    </cfRule>
  </conditionalFormatting>
  <conditionalFormatting sqref="D52:G52">
    <cfRule type="expression" priority="4" aboveAverage="0" equalAverage="0" bottom="0" percent="0" rank="0" text="" dxfId="13">
      <formula>LEFT(D52,1)="✔"</formula>
    </cfRule>
    <cfRule type="expression" priority="5" aboveAverage="0" equalAverage="0" bottom="0" percent="0" rank="0" text="" dxfId="14">
      <formula>LEFT(D52,1)="✘"</formula>
    </cfRule>
  </conditionalFormatting>
  <conditionalFormatting sqref="D16:G16">
    <cfRule type="expression" priority="6" aboveAverage="0" equalAverage="0" bottom="0" percent="0" rank="0" text="" dxfId="13">
      <formula>LEFT(D16,1)="✔"</formula>
    </cfRule>
    <cfRule type="expression" priority="7" aboveAverage="0" equalAverage="0" bottom="0" percent="0" rank="0" text="" dxfId="14">
      <formula>LEFT(D16,1)="✘"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0000"/>
    <pageSetUpPr fitToPage="true"/>
  </sheetPr>
  <dimension ref="A1:T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4.2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7" min="3" style="0" width="7"/>
    <col collapsed="false" customWidth="true" hidden="false" outlineLevel="0" max="8" min="8" style="0" width="9"/>
    <col collapsed="false" customWidth="true" hidden="false" outlineLevel="0" max="11" min="9" style="0" width="7"/>
    <col collapsed="false" customWidth="true" hidden="false" outlineLevel="0" max="13" min="12" style="0" width="9"/>
    <col collapsed="false" customWidth="true" hidden="false" outlineLevel="0" max="14" min="14" style="0" width="7"/>
    <col collapsed="false" customWidth="true" hidden="false" outlineLevel="0" max="15" min="15" style="0" width="14"/>
    <col collapsed="false" customWidth="true" hidden="false" outlineLevel="0" max="16" min="16" style="0" width="7"/>
    <col collapsed="false" customWidth="true" hidden="false" outlineLevel="0" max="17" min="17" style="0" width="11"/>
    <col collapsed="false" customWidth="true" hidden="false" outlineLevel="0" max="18" min="18" style="0" width="3"/>
    <col collapsed="false" customWidth="true" hidden="false" outlineLevel="0" max="19" min="19" style="0" width="30"/>
    <col collapsed="false" customWidth="true" hidden="false" outlineLevel="0" max="20" min="20" style="0" width="8"/>
  </cols>
  <sheetData>
    <row r="1" customFormat="false" ht="30" hidden="false" customHeight="true" outlineLevel="0" collapsed="false">
      <c r="A1" s="1" t="s">
        <v>277</v>
      </c>
      <c r="B1" s="1"/>
      <c r="C1" s="1"/>
      <c r="D1" s="1"/>
      <c r="E1" s="1"/>
      <c r="F1" s="1"/>
      <c r="G1" s="1"/>
      <c r="H1" s="1"/>
      <c r="I1" s="1"/>
      <c r="J1" s="1"/>
      <c r="K1" s="1"/>
      <c r="L1" s="1"/>
      <c r="M1" s="1"/>
      <c r="N1" s="1"/>
      <c r="O1" s="1"/>
      <c r="P1" s="1"/>
      <c r="Q1" s="1"/>
    </row>
    <row r="2" customFormat="false" ht="27.75" hidden="false" customHeight="true" outlineLevel="0" collapsed="false">
      <c r="A2" s="2" t="s">
        <v>278</v>
      </c>
      <c r="B2" s="2"/>
      <c r="C2" s="2"/>
      <c r="D2" s="2"/>
      <c r="E2" s="2"/>
      <c r="F2" s="2"/>
      <c r="G2" s="2"/>
      <c r="H2" s="2"/>
      <c r="I2" s="2"/>
      <c r="J2" s="2"/>
      <c r="K2" s="2"/>
      <c r="L2" s="2"/>
      <c r="M2" s="2"/>
      <c r="N2" s="2"/>
      <c r="O2" s="2"/>
      <c r="P2" s="2"/>
      <c r="Q2" s="2"/>
      <c r="S2" s="39" t="s">
        <v>46</v>
      </c>
      <c r="T2" s="39"/>
    </row>
    <row r="3" customFormat="false" ht="14.25" hidden="false" customHeight="false" outlineLevel="0" collapsed="false">
      <c r="S3" s="9" t="s">
        <v>279</v>
      </c>
      <c r="T3" s="13" t="n">
        <v>40</v>
      </c>
    </row>
    <row r="4" customFormat="false" ht="14.25" hidden="false" customHeight="true" outlineLevel="0" collapsed="false">
      <c r="A4" s="40" t="s">
        <v>280</v>
      </c>
      <c r="B4" s="40"/>
      <c r="C4" s="41" t="str">
        <f aca="false">"Problem 1 ("&amp;H5&amp;" pts)"</f>
        <v>Problem 1 (35 pts)</v>
      </c>
      <c r="D4" s="41"/>
      <c r="E4" s="41"/>
      <c r="F4" s="41"/>
      <c r="G4" s="41"/>
      <c r="H4" s="41"/>
      <c r="I4" s="41" t="str">
        <f aca="false">"Problem 2 ("&amp;L5&amp;" pts)"</f>
        <v>Problem 2 (15 pts)</v>
      </c>
      <c r="J4" s="41"/>
      <c r="K4" s="41"/>
      <c r="L4" s="41"/>
      <c r="M4" s="40" t="s">
        <v>281</v>
      </c>
      <c r="N4" s="40"/>
      <c r="O4" s="40"/>
      <c r="P4" s="40"/>
      <c r="Q4" s="40"/>
      <c r="S4" s="42" t="s">
        <v>282</v>
      </c>
      <c r="T4" s="13" t="n">
        <v>26</v>
      </c>
    </row>
    <row r="5" customFormat="false" ht="14.25" hidden="false" customHeight="false" outlineLevel="0" collapsed="false">
      <c r="A5" s="43"/>
      <c r="B5" s="44" t="s">
        <v>42</v>
      </c>
      <c r="C5" s="38" t="n">
        <v>15</v>
      </c>
      <c r="D5" s="38" t="n">
        <v>6</v>
      </c>
      <c r="E5" s="38" t="n">
        <v>1</v>
      </c>
      <c r="F5" s="38" t="n">
        <v>3</v>
      </c>
      <c r="G5" s="38" t="n">
        <v>10</v>
      </c>
      <c r="H5" s="45" t="n">
        <f aca="false">SUM(C5:G5)</f>
        <v>35</v>
      </c>
      <c r="I5" s="38" t="n">
        <v>5</v>
      </c>
      <c r="J5" s="38" t="n">
        <v>5</v>
      </c>
      <c r="K5" s="38" t="n">
        <v>5</v>
      </c>
      <c r="L5" s="45" t="n">
        <f aca="false">SUM(I5:K5)</f>
        <v>15</v>
      </c>
      <c r="M5" s="45" t="n">
        <f aca="false">H5+L5</f>
        <v>50</v>
      </c>
      <c r="N5" s="45"/>
      <c r="O5" s="45"/>
      <c r="P5" s="45"/>
      <c r="Q5" s="45"/>
      <c r="S5" s="46" t="s">
        <v>283</v>
      </c>
      <c r="T5" s="17" t="n">
        <f aca="false">T4</f>
        <v>26</v>
      </c>
    </row>
    <row r="6" customFormat="false" ht="31.5" hidden="false" customHeight="true" outlineLevel="0" collapsed="false">
      <c r="A6" s="11" t="s">
        <v>54</v>
      </c>
      <c r="B6" s="11" t="s">
        <v>284</v>
      </c>
      <c r="C6" s="11" t="s">
        <v>188</v>
      </c>
      <c r="D6" s="11" t="s">
        <v>191</v>
      </c>
      <c r="E6" s="11" t="s">
        <v>194</v>
      </c>
      <c r="F6" s="11" t="s">
        <v>197</v>
      </c>
      <c r="G6" s="11" t="s">
        <v>200</v>
      </c>
      <c r="H6" s="11" t="s">
        <v>285</v>
      </c>
      <c r="I6" s="11" t="s">
        <v>203</v>
      </c>
      <c r="J6" s="11" t="s">
        <v>206</v>
      </c>
      <c r="K6" s="11" t="s">
        <v>209</v>
      </c>
      <c r="L6" s="11" t="s">
        <v>286</v>
      </c>
      <c r="M6" s="11" t="s">
        <v>218</v>
      </c>
      <c r="N6" s="11" t="s">
        <v>287</v>
      </c>
      <c r="O6" s="11" t="s">
        <v>288</v>
      </c>
      <c r="P6" s="11" t="s">
        <v>289</v>
      </c>
      <c r="Q6" s="11" t="s">
        <v>290</v>
      </c>
    </row>
    <row r="7" customFormat="false" ht="14.25" hidden="false" customHeight="false" outlineLevel="0" collapsed="false">
      <c r="A7" s="12" t="n">
        <v>1</v>
      </c>
      <c r="B7" s="22" t="str">
        <f aca="false">IFERROR(INDEX(Roster!$D$5:$D$56,MATCH($A7,Roster!$A$5:$A$56,0)),"(not on roster)")</f>
        <v>David Abagwe</v>
      </c>
      <c r="C7" s="13"/>
      <c r="D7" s="13"/>
      <c r="E7" s="13"/>
      <c r="F7" s="13"/>
      <c r="G7" s="13"/>
      <c r="H7" s="12" t="str">
        <f aca="false">IF(COUNT(C7:G7)=0,"",SUM(C7:G7))</f>
        <v/>
      </c>
      <c r="I7" s="13"/>
      <c r="J7" s="13"/>
      <c r="K7" s="13"/>
      <c r="L7" s="12" t="str">
        <f aca="false">IF(COUNT(I7:K7)=0,"",SUM(I7:K7))</f>
        <v/>
      </c>
      <c r="M7" s="16" t="str">
        <f aca="false">IF(COUNT(C7:G7,I7:K7)=COUNT($C$5:$G$5,$I$5:$K$5),SUM(C7:G7,I7:K7),"")</f>
        <v/>
      </c>
      <c r="N7" s="15" t="str">
        <f aca="false">IF(ISNUMBER(M7),M7/$M$5,"")</f>
        <v/>
      </c>
      <c r="O7" s="12" t="str">
        <f aca="false">IF(ISNUMBER(M7),IF(M7&gt;=$T$3,"Strong",IF(M7&gt;=$T$4,"Satisfactory","Needs support")),"")</f>
        <v/>
      </c>
      <c r="P7" s="12" t="str">
        <f aca="false">IF(ISNUMBER(M7),RANK(M7,$M$7:$M$58,0),"")</f>
        <v/>
      </c>
      <c r="Q7" s="12" t="str">
        <f aca="false">IF(COUNT(C7:G7,I7:K7)=0,"Missing",IF(COUNT(C7:G7,I7:K7)&lt;COUNT($C$5:$G$5,$I$5:$K$5),"Incomplete","Graded"))</f>
        <v>Missing</v>
      </c>
    </row>
    <row r="8" customFormat="false" ht="14.25" hidden="false" customHeight="false" outlineLevel="0" collapsed="false">
      <c r="A8" s="12" t="n">
        <v>2</v>
      </c>
      <c r="B8" s="22" t="str">
        <f aca="false">IFERROR(INDEX(Roster!$D$5:$D$56,MATCH($A8,Roster!$A$5:$A$56,0)),"(not on roster)")</f>
        <v>Sonu Acharya</v>
      </c>
      <c r="C8" s="13"/>
      <c r="D8" s="13"/>
      <c r="E8" s="13"/>
      <c r="F8" s="13"/>
      <c r="G8" s="13"/>
      <c r="H8" s="12" t="str">
        <f aca="false">IF(COUNT(C8:G8)=0,"",SUM(C8:G8))</f>
        <v/>
      </c>
      <c r="I8" s="13"/>
      <c r="J8" s="13"/>
      <c r="K8" s="13"/>
      <c r="L8" s="12" t="str">
        <f aca="false">IF(COUNT(I8:K8)=0,"",SUM(I8:K8))</f>
        <v/>
      </c>
      <c r="M8" s="16" t="str">
        <f aca="false">IF(COUNT(C8:G8,I8:K8)=COUNT($C$5:$G$5,$I$5:$K$5),SUM(C8:G8,I8:K8),"")</f>
        <v/>
      </c>
      <c r="N8" s="15" t="str">
        <f aca="false">IF(ISNUMBER(M8),M8/$M$5,"")</f>
        <v/>
      </c>
      <c r="O8" s="12" t="str">
        <f aca="false">IF(ISNUMBER(M8),IF(M8&gt;=$T$3,"Strong",IF(M8&gt;=$T$4,"Satisfactory","Needs support")),"")</f>
        <v/>
      </c>
      <c r="P8" s="12" t="str">
        <f aca="false">IF(ISNUMBER(M8),RANK(M8,$M$7:$M$58,0),"")</f>
        <v/>
      </c>
      <c r="Q8" s="12" t="str">
        <f aca="false">IF(COUNT(C8:G8,I8:K8)=0,"Missing",IF(COUNT(C8:G8,I8:K8)&lt;COUNT($C$5:$G$5,$I$5:$K$5),"Incomplete","Graded"))</f>
        <v>Missing</v>
      </c>
    </row>
    <row r="9" customFormat="false" ht="14.25" hidden="false" customHeight="false" outlineLevel="0" collapsed="false">
      <c r="A9" s="12" t="n">
        <v>3</v>
      </c>
      <c r="B9" s="22" t="str">
        <f aca="false">IFERROR(INDEX(Roster!$D$5:$D$56,MATCH($A9,Roster!$A$5:$A$56,0)),"(not on roster)")</f>
        <v>Ashton Adams</v>
      </c>
      <c r="C9" s="13"/>
      <c r="D9" s="13"/>
      <c r="E9" s="13"/>
      <c r="F9" s="13"/>
      <c r="G9" s="13"/>
      <c r="H9" s="12" t="str">
        <f aca="false">IF(COUNT(C9:G9)=0,"",SUM(C9:G9))</f>
        <v/>
      </c>
      <c r="I9" s="13"/>
      <c r="J9" s="13"/>
      <c r="K9" s="13"/>
      <c r="L9" s="12" t="str">
        <f aca="false">IF(COUNT(I9:K9)=0,"",SUM(I9:K9))</f>
        <v/>
      </c>
      <c r="M9" s="16" t="str">
        <f aca="false">IF(COUNT(C9:G9,I9:K9)=COUNT($C$5:$G$5,$I$5:$K$5),SUM(C9:G9,I9:K9),"")</f>
        <v/>
      </c>
      <c r="N9" s="15" t="str">
        <f aca="false">IF(ISNUMBER(M9),M9/$M$5,"")</f>
        <v/>
      </c>
      <c r="O9" s="12" t="str">
        <f aca="false">IF(ISNUMBER(M9),IF(M9&gt;=$T$3,"Strong",IF(M9&gt;=$T$4,"Satisfactory","Needs support")),"")</f>
        <v/>
      </c>
      <c r="P9" s="12" t="str">
        <f aca="false">IF(ISNUMBER(M9),RANK(M9,$M$7:$M$58,0),"")</f>
        <v/>
      </c>
      <c r="Q9" s="12" t="str">
        <f aca="false">IF(COUNT(C9:G9,I9:K9)=0,"Missing",IF(COUNT(C9:G9,I9:K9)&lt;COUNT($C$5:$G$5,$I$5:$K$5),"Incomplete","Graded"))</f>
        <v>Missing</v>
      </c>
    </row>
    <row r="10" customFormat="false" ht="14.25" hidden="false" customHeight="false" outlineLevel="0" collapsed="false">
      <c r="A10" s="12" t="n">
        <v>4</v>
      </c>
      <c r="B10" s="22" t="str">
        <f aca="false">IFERROR(INDEX(Roster!$D$5:$D$56,MATCH($A10,Roster!$A$5:$A$56,0)),"(not on roster)")</f>
        <v>Hayden Albert</v>
      </c>
      <c r="C10" s="13"/>
      <c r="D10" s="13"/>
      <c r="E10" s="13"/>
      <c r="F10" s="13"/>
      <c r="G10" s="13"/>
      <c r="H10" s="12" t="str">
        <f aca="false">IF(COUNT(C10:G10)=0,"",SUM(C10:G10))</f>
        <v/>
      </c>
      <c r="I10" s="13"/>
      <c r="J10" s="13"/>
      <c r="K10" s="13"/>
      <c r="L10" s="12" t="str">
        <f aca="false">IF(COUNT(I10:K10)=0,"",SUM(I10:K10))</f>
        <v/>
      </c>
      <c r="M10" s="16" t="str">
        <f aca="false">IF(COUNT(C10:G10,I10:K10)=COUNT($C$5:$G$5,$I$5:$K$5),SUM(C10:G10,I10:K10),"")</f>
        <v/>
      </c>
      <c r="N10" s="15" t="str">
        <f aca="false">IF(ISNUMBER(M10),M10/$M$5,"")</f>
        <v/>
      </c>
      <c r="O10" s="12" t="str">
        <f aca="false">IF(ISNUMBER(M10),IF(M10&gt;=$T$3,"Strong",IF(M10&gt;=$T$4,"Satisfactory","Needs support")),"")</f>
        <v/>
      </c>
      <c r="P10" s="12" t="str">
        <f aca="false">IF(ISNUMBER(M10),RANK(M10,$M$7:$M$58,0),"")</f>
        <v/>
      </c>
      <c r="Q10" s="12" t="str">
        <f aca="false">IF(COUNT(C10:G10,I10:K10)=0,"Missing",IF(COUNT(C10:G10,I10:K10)&lt;COUNT($C$5:$G$5,$I$5:$K$5),"Incomplete","Graded"))</f>
        <v>Missing</v>
      </c>
    </row>
    <row r="11" customFormat="false" ht="14.25" hidden="false" customHeight="false" outlineLevel="0" collapsed="false">
      <c r="A11" s="12" t="n">
        <v>5</v>
      </c>
      <c r="B11" s="22" t="str">
        <f aca="false">IFERROR(INDEX(Roster!$D$5:$D$56,MATCH($A11,Roster!$A$5:$A$56,0)),"(not on roster)")</f>
        <v>Lani Allen</v>
      </c>
      <c r="C11" s="13"/>
      <c r="D11" s="13"/>
      <c r="E11" s="13"/>
      <c r="F11" s="13"/>
      <c r="G11" s="13"/>
      <c r="H11" s="12" t="str">
        <f aca="false">IF(COUNT(C11:G11)=0,"",SUM(C11:G11))</f>
        <v/>
      </c>
      <c r="I11" s="13"/>
      <c r="J11" s="13"/>
      <c r="K11" s="13"/>
      <c r="L11" s="12" t="str">
        <f aca="false">IF(COUNT(I11:K11)=0,"",SUM(I11:K11))</f>
        <v/>
      </c>
      <c r="M11" s="16" t="str">
        <f aca="false">IF(COUNT(C11:G11,I11:K11)=COUNT($C$5:$G$5,$I$5:$K$5),SUM(C11:G11,I11:K11),"")</f>
        <v/>
      </c>
      <c r="N11" s="15" t="str">
        <f aca="false">IF(ISNUMBER(M11),M11/$M$5,"")</f>
        <v/>
      </c>
      <c r="O11" s="12" t="str">
        <f aca="false">IF(ISNUMBER(M11),IF(M11&gt;=$T$3,"Strong",IF(M11&gt;=$T$4,"Satisfactory","Needs support")),"")</f>
        <v/>
      </c>
      <c r="P11" s="12" t="str">
        <f aca="false">IF(ISNUMBER(M11),RANK(M11,$M$7:$M$58,0),"")</f>
        <v/>
      </c>
      <c r="Q11" s="12" t="str">
        <f aca="false">IF(COUNT(C11:G11,I11:K11)=0,"Missing",IF(COUNT(C11:G11,I11:K11)&lt;COUNT($C$5:$G$5,$I$5:$K$5),"Incomplete","Graded"))</f>
        <v>Missing</v>
      </c>
    </row>
    <row r="12" customFormat="false" ht="14.25" hidden="false" customHeight="false" outlineLevel="0" collapsed="false">
      <c r="A12" s="12" t="n">
        <v>6</v>
      </c>
      <c r="B12" s="22" t="str">
        <f aca="false">IFERROR(INDEX(Roster!$D$5:$D$56,MATCH($A12,Roster!$A$5:$A$56,0)),"(not on roster)")</f>
        <v>John David Andrade</v>
      </c>
      <c r="C12" s="13"/>
      <c r="D12" s="13"/>
      <c r="E12" s="13"/>
      <c r="F12" s="13"/>
      <c r="G12" s="13"/>
      <c r="H12" s="12" t="str">
        <f aca="false">IF(COUNT(C12:G12)=0,"",SUM(C12:G12))</f>
        <v/>
      </c>
      <c r="I12" s="13"/>
      <c r="J12" s="13"/>
      <c r="K12" s="13"/>
      <c r="L12" s="12" t="str">
        <f aca="false">IF(COUNT(I12:K12)=0,"",SUM(I12:K12))</f>
        <v/>
      </c>
      <c r="M12" s="16" t="str">
        <f aca="false">IF(COUNT(C12:G12,I12:K12)=COUNT($C$5:$G$5,$I$5:$K$5),SUM(C12:G12,I12:K12),"")</f>
        <v/>
      </c>
      <c r="N12" s="15" t="str">
        <f aca="false">IF(ISNUMBER(M12),M12/$M$5,"")</f>
        <v/>
      </c>
      <c r="O12" s="12" t="str">
        <f aca="false">IF(ISNUMBER(M12),IF(M12&gt;=$T$3,"Strong",IF(M12&gt;=$T$4,"Satisfactory","Needs support")),"")</f>
        <v/>
      </c>
      <c r="P12" s="12" t="str">
        <f aca="false">IF(ISNUMBER(M12),RANK(M12,$M$7:$M$58,0),"")</f>
        <v/>
      </c>
      <c r="Q12" s="12" t="str">
        <f aca="false">IF(COUNT(C12:G12,I12:K12)=0,"Missing",IF(COUNT(C12:G12,I12:K12)&lt;COUNT($C$5:$G$5,$I$5:$K$5),"Incomplete","Graded"))</f>
        <v>Missing</v>
      </c>
    </row>
    <row r="13" customFormat="false" ht="14.25" hidden="false" customHeight="false" outlineLevel="0" collapsed="false">
      <c r="A13" s="12" t="n">
        <v>7</v>
      </c>
      <c r="B13" s="22" t="str">
        <f aca="false">IFERROR(INDEX(Roster!$D$5:$D$56,MATCH($A13,Roster!$A$5:$A$56,0)),"(not on roster)")</f>
        <v>Landon Atkins</v>
      </c>
      <c r="C13" s="13"/>
      <c r="D13" s="13"/>
      <c r="E13" s="13"/>
      <c r="F13" s="13"/>
      <c r="G13" s="13"/>
      <c r="H13" s="12" t="str">
        <f aca="false">IF(COUNT(C13:G13)=0,"",SUM(C13:G13))</f>
        <v/>
      </c>
      <c r="I13" s="13"/>
      <c r="J13" s="13"/>
      <c r="K13" s="13"/>
      <c r="L13" s="12" t="str">
        <f aca="false">IF(COUNT(I13:K13)=0,"",SUM(I13:K13))</f>
        <v/>
      </c>
      <c r="M13" s="16" t="str">
        <f aca="false">IF(COUNT(C13:G13,I13:K13)=COUNT($C$5:$G$5,$I$5:$K$5),SUM(C13:G13,I13:K13),"")</f>
        <v/>
      </c>
      <c r="N13" s="15" t="str">
        <f aca="false">IF(ISNUMBER(M13),M13/$M$5,"")</f>
        <v/>
      </c>
      <c r="O13" s="12" t="str">
        <f aca="false">IF(ISNUMBER(M13),IF(M13&gt;=$T$3,"Strong",IF(M13&gt;=$T$4,"Satisfactory","Needs support")),"")</f>
        <v/>
      </c>
      <c r="P13" s="12" t="str">
        <f aca="false">IF(ISNUMBER(M13),RANK(M13,$M$7:$M$58,0),"")</f>
        <v/>
      </c>
      <c r="Q13" s="12" t="str">
        <f aca="false">IF(COUNT(C13:G13,I13:K13)=0,"Missing",IF(COUNT(C13:G13,I13:K13)&lt;COUNT($C$5:$G$5,$I$5:$K$5),"Incomplete","Graded"))</f>
        <v>Missing</v>
      </c>
    </row>
    <row r="14" customFormat="false" ht="14.25" hidden="false" customHeight="false" outlineLevel="0" collapsed="false">
      <c r="A14" s="12" t="n">
        <v>8</v>
      </c>
      <c r="B14" s="22" t="str">
        <f aca="false">IFERROR(INDEX(Roster!$D$5:$D$56,MATCH($A14,Roster!$A$5:$A$56,0)),"(not on roster)")</f>
        <v>Ryan Borkland</v>
      </c>
      <c r="C14" s="13"/>
      <c r="D14" s="13"/>
      <c r="E14" s="13"/>
      <c r="F14" s="13"/>
      <c r="G14" s="13"/>
      <c r="H14" s="12" t="str">
        <f aca="false">IF(COUNT(C14:G14)=0,"",SUM(C14:G14))</f>
        <v/>
      </c>
      <c r="I14" s="13"/>
      <c r="J14" s="13"/>
      <c r="K14" s="13"/>
      <c r="L14" s="12" t="str">
        <f aca="false">IF(COUNT(I14:K14)=0,"",SUM(I14:K14))</f>
        <v/>
      </c>
      <c r="M14" s="16" t="str">
        <f aca="false">IF(COUNT(C14:G14,I14:K14)=COUNT($C$5:$G$5,$I$5:$K$5),SUM(C14:G14,I14:K14),"")</f>
        <v/>
      </c>
      <c r="N14" s="15" t="str">
        <f aca="false">IF(ISNUMBER(M14),M14/$M$5,"")</f>
        <v/>
      </c>
      <c r="O14" s="12" t="str">
        <f aca="false">IF(ISNUMBER(M14),IF(M14&gt;=$T$3,"Strong",IF(M14&gt;=$T$4,"Satisfactory","Needs support")),"")</f>
        <v/>
      </c>
      <c r="P14" s="12" t="str">
        <f aca="false">IF(ISNUMBER(M14),RANK(M14,$M$7:$M$58,0),"")</f>
        <v/>
      </c>
      <c r="Q14" s="12" t="str">
        <f aca="false">IF(COUNT(C14:G14,I14:K14)=0,"Missing",IF(COUNT(C14:G14,I14:K14)&lt;COUNT($C$5:$G$5,$I$5:$K$5),"Incomplete","Graded"))</f>
        <v>Missing</v>
      </c>
    </row>
    <row r="15" customFormat="false" ht="14.25" hidden="false" customHeight="false" outlineLevel="0" collapsed="false">
      <c r="A15" s="12" t="n">
        <v>9</v>
      </c>
      <c r="B15" s="22" t="str">
        <f aca="false">IFERROR(INDEX(Roster!$D$5:$D$56,MATCH($A15,Roster!$A$5:$A$56,0)),"(not on roster)")</f>
        <v>Jermy Brown</v>
      </c>
      <c r="C15" s="13"/>
      <c r="D15" s="13"/>
      <c r="E15" s="13"/>
      <c r="F15" s="13"/>
      <c r="G15" s="13"/>
      <c r="H15" s="12" t="str">
        <f aca="false">IF(COUNT(C15:G15)=0,"",SUM(C15:G15))</f>
        <v/>
      </c>
      <c r="I15" s="13"/>
      <c r="J15" s="13"/>
      <c r="K15" s="13"/>
      <c r="L15" s="12" t="str">
        <f aca="false">IF(COUNT(I15:K15)=0,"",SUM(I15:K15))</f>
        <v/>
      </c>
      <c r="M15" s="16" t="str">
        <f aca="false">IF(COUNT(C15:G15,I15:K15)=COUNT($C$5:$G$5,$I$5:$K$5),SUM(C15:G15,I15:K15),"")</f>
        <v/>
      </c>
      <c r="N15" s="15" t="str">
        <f aca="false">IF(ISNUMBER(M15),M15/$M$5,"")</f>
        <v/>
      </c>
      <c r="O15" s="12" t="str">
        <f aca="false">IF(ISNUMBER(M15),IF(M15&gt;=$T$3,"Strong",IF(M15&gt;=$T$4,"Satisfactory","Needs support")),"")</f>
        <v/>
      </c>
      <c r="P15" s="12" t="str">
        <f aca="false">IF(ISNUMBER(M15),RANK(M15,$M$7:$M$58,0),"")</f>
        <v/>
      </c>
      <c r="Q15" s="12" t="str">
        <f aca="false">IF(COUNT(C15:G15,I15:K15)=0,"Missing",IF(COUNT(C15:G15,I15:K15)&lt;COUNT($C$5:$G$5,$I$5:$K$5),"Incomplete","Graded"))</f>
        <v>Missing</v>
      </c>
    </row>
    <row r="16" customFormat="false" ht="14.25" hidden="false" customHeight="false" outlineLevel="0" collapsed="false">
      <c r="A16" s="12" t="n">
        <v>10</v>
      </c>
      <c r="B16" s="22" t="str">
        <f aca="false">IFERROR(INDEX(Roster!$D$5:$D$56,MATCH($A16,Roster!$A$5:$A$56,0)),"(not on roster)")</f>
        <v>Eric Calderon</v>
      </c>
      <c r="C16" s="13"/>
      <c r="D16" s="13"/>
      <c r="E16" s="13"/>
      <c r="F16" s="13"/>
      <c r="G16" s="13"/>
      <c r="H16" s="12" t="str">
        <f aca="false">IF(COUNT(C16:G16)=0,"",SUM(C16:G16))</f>
        <v/>
      </c>
      <c r="I16" s="13"/>
      <c r="J16" s="13"/>
      <c r="K16" s="13"/>
      <c r="L16" s="12" t="str">
        <f aca="false">IF(COUNT(I16:K16)=0,"",SUM(I16:K16))</f>
        <v/>
      </c>
      <c r="M16" s="16" t="str">
        <f aca="false">IF(COUNT(C16:G16,I16:K16)=COUNT($C$5:$G$5,$I$5:$K$5),SUM(C16:G16,I16:K16),"")</f>
        <v/>
      </c>
      <c r="N16" s="15" t="str">
        <f aca="false">IF(ISNUMBER(M16),M16/$M$5,"")</f>
        <v/>
      </c>
      <c r="O16" s="12" t="str">
        <f aca="false">IF(ISNUMBER(M16),IF(M16&gt;=$T$3,"Strong",IF(M16&gt;=$T$4,"Satisfactory","Needs support")),"")</f>
        <v/>
      </c>
      <c r="P16" s="12" t="str">
        <f aca="false">IF(ISNUMBER(M16),RANK(M16,$M$7:$M$58,0),"")</f>
        <v/>
      </c>
      <c r="Q16" s="12" t="str">
        <f aca="false">IF(COUNT(C16:G16,I16:K16)=0,"Missing",IF(COUNT(C16:G16,I16:K16)&lt;COUNT($C$5:$G$5,$I$5:$K$5),"Incomplete","Graded"))</f>
        <v>Missing</v>
      </c>
    </row>
    <row r="17" customFormat="false" ht="14.25" hidden="false" customHeight="false" outlineLevel="0" collapsed="false">
      <c r="A17" s="12" t="n">
        <v>11</v>
      </c>
      <c r="B17" s="22" t="str">
        <f aca="false">IFERROR(INDEX(Roster!$D$5:$D$56,MATCH($A17,Roster!$A$5:$A$56,0)),"(not on roster)")</f>
        <v>Angel Camarillo</v>
      </c>
      <c r="C17" s="13"/>
      <c r="D17" s="13"/>
      <c r="E17" s="13"/>
      <c r="F17" s="13"/>
      <c r="G17" s="13"/>
      <c r="H17" s="12" t="str">
        <f aca="false">IF(COUNT(C17:G17)=0,"",SUM(C17:G17))</f>
        <v/>
      </c>
      <c r="I17" s="13"/>
      <c r="J17" s="13"/>
      <c r="K17" s="13"/>
      <c r="L17" s="12" t="str">
        <f aca="false">IF(COUNT(I17:K17)=0,"",SUM(I17:K17))</f>
        <v/>
      </c>
      <c r="M17" s="16" t="str">
        <f aca="false">IF(COUNT(C17:G17,I17:K17)=COUNT($C$5:$G$5,$I$5:$K$5),SUM(C17:G17,I17:K17),"")</f>
        <v/>
      </c>
      <c r="N17" s="15" t="str">
        <f aca="false">IF(ISNUMBER(M17),M17/$M$5,"")</f>
        <v/>
      </c>
      <c r="O17" s="12" t="str">
        <f aca="false">IF(ISNUMBER(M17),IF(M17&gt;=$T$3,"Strong",IF(M17&gt;=$T$4,"Satisfactory","Needs support")),"")</f>
        <v/>
      </c>
      <c r="P17" s="12" t="str">
        <f aca="false">IF(ISNUMBER(M17),RANK(M17,$M$7:$M$58,0),"")</f>
        <v/>
      </c>
      <c r="Q17" s="12" t="str">
        <f aca="false">IF(COUNT(C17:G17,I17:K17)=0,"Missing",IF(COUNT(C17:G17,I17:K17)&lt;COUNT($C$5:$G$5,$I$5:$K$5),"Incomplete","Graded"))</f>
        <v>Missing</v>
      </c>
    </row>
    <row r="18" customFormat="false" ht="14.25" hidden="false" customHeight="false" outlineLevel="0" collapsed="false">
      <c r="A18" s="12" t="n">
        <v>12</v>
      </c>
      <c r="B18" s="22" t="str">
        <f aca="false">IFERROR(INDEX(Roster!$D$5:$D$56,MATCH($A18,Roster!$A$5:$A$56,0)),"(not on roster)")</f>
        <v>Gavin Cappel</v>
      </c>
      <c r="C18" s="13"/>
      <c r="D18" s="13"/>
      <c r="E18" s="13"/>
      <c r="F18" s="13"/>
      <c r="G18" s="13"/>
      <c r="H18" s="12" t="str">
        <f aca="false">IF(COUNT(C18:G18)=0,"",SUM(C18:G18))</f>
        <v/>
      </c>
      <c r="I18" s="13"/>
      <c r="J18" s="13"/>
      <c r="K18" s="13"/>
      <c r="L18" s="12" t="str">
        <f aca="false">IF(COUNT(I18:K18)=0,"",SUM(I18:K18))</f>
        <v/>
      </c>
      <c r="M18" s="16" t="str">
        <f aca="false">IF(COUNT(C18:G18,I18:K18)=COUNT($C$5:$G$5,$I$5:$K$5),SUM(C18:G18,I18:K18),"")</f>
        <v/>
      </c>
      <c r="N18" s="15" t="str">
        <f aca="false">IF(ISNUMBER(M18),M18/$M$5,"")</f>
        <v/>
      </c>
      <c r="O18" s="12" t="str">
        <f aca="false">IF(ISNUMBER(M18),IF(M18&gt;=$T$3,"Strong",IF(M18&gt;=$T$4,"Satisfactory","Needs support")),"")</f>
        <v/>
      </c>
      <c r="P18" s="12" t="str">
        <f aca="false">IF(ISNUMBER(M18),RANK(M18,$M$7:$M$58,0),"")</f>
        <v/>
      </c>
      <c r="Q18" s="12" t="str">
        <f aca="false">IF(COUNT(C18:G18,I18:K18)=0,"Missing",IF(COUNT(C18:G18,I18:K18)&lt;COUNT($C$5:$G$5,$I$5:$K$5),"Incomplete","Graded"))</f>
        <v>Missing</v>
      </c>
    </row>
    <row r="19" customFormat="false" ht="14.25" hidden="false" customHeight="false" outlineLevel="0" collapsed="false">
      <c r="A19" s="12" t="n">
        <v>13</v>
      </c>
      <c r="B19" s="22" t="str">
        <f aca="false">IFERROR(INDEX(Roster!$D$5:$D$56,MATCH($A19,Roster!$A$5:$A$56,0)),"(not on roster)")</f>
        <v>Venditha Chelikani</v>
      </c>
      <c r="C19" s="13"/>
      <c r="D19" s="13"/>
      <c r="E19" s="13"/>
      <c r="F19" s="13"/>
      <c r="G19" s="13"/>
      <c r="H19" s="12" t="str">
        <f aca="false">IF(COUNT(C19:G19)=0,"",SUM(C19:G19))</f>
        <v/>
      </c>
      <c r="I19" s="13"/>
      <c r="J19" s="13"/>
      <c r="K19" s="13"/>
      <c r="L19" s="12" t="str">
        <f aca="false">IF(COUNT(I19:K19)=0,"",SUM(I19:K19))</f>
        <v/>
      </c>
      <c r="M19" s="16" t="str">
        <f aca="false">IF(COUNT(C19:G19,I19:K19)=COUNT($C$5:$G$5,$I$5:$K$5),SUM(C19:G19,I19:K19),"")</f>
        <v/>
      </c>
      <c r="N19" s="15" t="str">
        <f aca="false">IF(ISNUMBER(M19),M19/$M$5,"")</f>
        <v/>
      </c>
      <c r="O19" s="12" t="str">
        <f aca="false">IF(ISNUMBER(M19),IF(M19&gt;=$T$3,"Strong",IF(M19&gt;=$T$4,"Satisfactory","Needs support")),"")</f>
        <v/>
      </c>
      <c r="P19" s="12" t="str">
        <f aca="false">IF(ISNUMBER(M19),RANK(M19,$M$7:$M$58,0),"")</f>
        <v/>
      </c>
      <c r="Q19" s="12" t="str">
        <f aca="false">IF(COUNT(C19:G19,I19:K19)=0,"Missing",IF(COUNT(C19:G19,I19:K19)&lt;COUNT($C$5:$G$5,$I$5:$K$5),"Incomplete","Graded"))</f>
        <v>Missing</v>
      </c>
    </row>
    <row r="20" customFormat="false" ht="14.25" hidden="false" customHeight="false" outlineLevel="0" collapsed="false">
      <c r="A20" s="12" t="n">
        <v>14</v>
      </c>
      <c r="B20" s="22" t="str">
        <f aca="false">IFERROR(INDEX(Roster!$D$5:$D$56,MATCH($A20,Roster!$A$5:$A$56,0)),"(not on roster)")</f>
        <v>Brisa Colunga</v>
      </c>
      <c r="C20" s="13"/>
      <c r="D20" s="13"/>
      <c r="E20" s="13"/>
      <c r="F20" s="13"/>
      <c r="G20" s="13"/>
      <c r="H20" s="12" t="str">
        <f aca="false">IF(COUNT(C20:G20)=0,"",SUM(C20:G20))</f>
        <v/>
      </c>
      <c r="I20" s="13"/>
      <c r="J20" s="13"/>
      <c r="K20" s="13"/>
      <c r="L20" s="12" t="str">
        <f aca="false">IF(COUNT(I20:K20)=0,"",SUM(I20:K20))</f>
        <v/>
      </c>
      <c r="M20" s="16" t="str">
        <f aca="false">IF(COUNT(C20:G20,I20:K20)=COUNT($C$5:$G$5,$I$5:$K$5),SUM(C20:G20,I20:K20),"")</f>
        <v/>
      </c>
      <c r="N20" s="15" t="str">
        <f aca="false">IF(ISNUMBER(M20),M20/$M$5,"")</f>
        <v/>
      </c>
      <c r="O20" s="12" t="str">
        <f aca="false">IF(ISNUMBER(M20),IF(M20&gt;=$T$3,"Strong",IF(M20&gt;=$T$4,"Satisfactory","Needs support")),"")</f>
        <v/>
      </c>
      <c r="P20" s="12" t="str">
        <f aca="false">IF(ISNUMBER(M20),RANK(M20,$M$7:$M$58,0),"")</f>
        <v/>
      </c>
      <c r="Q20" s="12" t="str">
        <f aca="false">IF(COUNT(C20:G20,I20:K20)=0,"Missing",IF(COUNT(C20:G20,I20:K20)&lt;COUNT($C$5:$G$5,$I$5:$K$5),"Incomplete","Graded"))</f>
        <v>Missing</v>
      </c>
    </row>
    <row r="21" customFormat="false" ht="14.25" hidden="false" customHeight="false" outlineLevel="0" collapsed="false">
      <c r="A21" s="12" t="n">
        <v>15</v>
      </c>
      <c r="B21" s="22" t="str">
        <f aca="false">IFERROR(INDEX(Roster!$D$5:$D$56,MATCH($A21,Roster!$A$5:$A$56,0)),"(not on roster)")</f>
        <v>Axel Cruz-Hernandez</v>
      </c>
      <c r="C21" s="13"/>
      <c r="D21" s="13"/>
      <c r="E21" s="13"/>
      <c r="F21" s="13"/>
      <c r="G21" s="13"/>
      <c r="H21" s="12" t="str">
        <f aca="false">IF(COUNT(C21:G21)=0,"",SUM(C21:G21))</f>
        <v/>
      </c>
      <c r="I21" s="13"/>
      <c r="J21" s="13"/>
      <c r="K21" s="13"/>
      <c r="L21" s="12" t="str">
        <f aca="false">IF(COUNT(I21:K21)=0,"",SUM(I21:K21))</f>
        <v/>
      </c>
      <c r="M21" s="16" t="str">
        <f aca="false">IF(COUNT(C21:G21,I21:K21)=COUNT($C$5:$G$5,$I$5:$K$5),SUM(C21:G21,I21:K21),"")</f>
        <v/>
      </c>
      <c r="N21" s="15" t="str">
        <f aca="false">IF(ISNUMBER(M21),M21/$M$5,"")</f>
        <v/>
      </c>
      <c r="O21" s="12" t="str">
        <f aca="false">IF(ISNUMBER(M21),IF(M21&gt;=$T$3,"Strong",IF(M21&gt;=$T$4,"Satisfactory","Needs support")),"")</f>
        <v/>
      </c>
      <c r="P21" s="12" t="str">
        <f aca="false">IF(ISNUMBER(M21),RANK(M21,$M$7:$M$58,0),"")</f>
        <v/>
      </c>
      <c r="Q21" s="12" t="str">
        <f aca="false">IF(COUNT(C21:G21,I21:K21)=0,"Missing",IF(COUNT(C21:G21,I21:K21)&lt;COUNT($C$5:$G$5,$I$5:$K$5),"Incomplete","Graded"))</f>
        <v>Missing</v>
      </c>
    </row>
    <row r="22" customFormat="false" ht="14.25" hidden="false" customHeight="false" outlineLevel="0" collapsed="false">
      <c r="A22" s="12" t="n">
        <v>16</v>
      </c>
      <c r="B22" s="22" t="str">
        <f aca="false">IFERROR(INDEX(Roster!$D$5:$D$56,MATCH($A22,Roster!$A$5:$A$56,0)),"(not on roster)")</f>
        <v>Devin Cuellar</v>
      </c>
      <c r="C22" s="13"/>
      <c r="D22" s="13"/>
      <c r="E22" s="13"/>
      <c r="F22" s="13"/>
      <c r="G22" s="13"/>
      <c r="H22" s="12" t="str">
        <f aca="false">IF(COUNT(C22:G22)=0,"",SUM(C22:G22))</f>
        <v/>
      </c>
      <c r="I22" s="13"/>
      <c r="J22" s="13"/>
      <c r="K22" s="13"/>
      <c r="L22" s="12" t="str">
        <f aca="false">IF(COUNT(I22:K22)=0,"",SUM(I22:K22))</f>
        <v/>
      </c>
      <c r="M22" s="16" t="str">
        <f aca="false">IF(COUNT(C22:G22,I22:K22)=COUNT($C$5:$G$5,$I$5:$K$5),SUM(C22:G22,I22:K22),"")</f>
        <v/>
      </c>
      <c r="N22" s="15" t="str">
        <f aca="false">IF(ISNUMBER(M22),M22/$M$5,"")</f>
        <v/>
      </c>
      <c r="O22" s="12" t="str">
        <f aca="false">IF(ISNUMBER(M22),IF(M22&gt;=$T$3,"Strong",IF(M22&gt;=$T$4,"Satisfactory","Needs support")),"")</f>
        <v/>
      </c>
      <c r="P22" s="12" t="str">
        <f aca="false">IF(ISNUMBER(M22),RANK(M22,$M$7:$M$58,0),"")</f>
        <v/>
      </c>
      <c r="Q22" s="12" t="str">
        <f aca="false">IF(COUNT(C22:G22,I22:K22)=0,"Missing",IF(COUNT(C22:G22,I22:K22)&lt;COUNT($C$5:$G$5,$I$5:$K$5),"Incomplete","Graded"))</f>
        <v>Missing</v>
      </c>
    </row>
    <row r="23" customFormat="false" ht="14.25" hidden="false" customHeight="false" outlineLevel="0" collapsed="false">
      <c r="A23" s="12" t="n">
        <v>17</v>
      </c>
      <c r="B23" s="22" t="str">
        <f aca="false">IFERROR(INDEX(Roster!$D$5:$D$56,MATCH($A23,Roster!$A$5:$A$56,0)),"(not on roster)")</f>
        <v>Mia Cuellar</v>
      </c>
      <c r="C23" s="13"/>
      <c r="D23" s="13"/>
      <c r="E23" s="13"/>
      <c r="F23" s="13"/>
      <c r="G23" s="13"/>
      <c r="H23" s="12" t="str">
        <f aca="false">IF(COUNT(C23:G23)=0,"",SUM(C23:G23))</f>
        <v/>
      </c>
      <c r="I23" s="13"/>
      <c r="J23" s="13"/>
      <c r="K23" s="13"/>
      <c r="L23" s="12" t="str">
        <f aca="false">IF(COUNT(I23:K23)=0,"",SUM(I23:K23))</f>
        <v/>
      </c>
      <c r="M23" s="16" t="str">
        <f aca="false">IF(COUNT(C23:G23,I23:K23)=COUNT($C$5:$G$5,$I$5:$K$5),SUM(C23:G23,I23:K23),"")</f>
        <v/>
      </c>
      <c r="N23" s="15" t="str">
        <f aca="false">IF(ISNUMBER(M23),M23/$M$5,"")</f>
        <v/>
      </c>
      <c r="O23" s="12" t="str">
        <f aca="false">IF(ISNUMBER(M23),IF(M23&gt;=$T$3,"Strong",IF(M23&gt;=$T$4,"Satisfactory","Needs support")),"")</f>
        <v/>
      </c>
      <c r="P23" s="12" t="str">
        <f aca="false">IF(ISNUMBER(M23),RANK(M23,$M$7:$M$58,0),"")</f>
        <v/>
      </c>
      <c r="Q23" s="12" t="str">
        <f aca="false">IF(COUNT(C23:G23,I23:K23)=0,"Missing",IF(COUNT(C23:G23,I23:K23)&lt;COUNT($C$5:$G$5,$I$5:$K$5),"Incomplete","Graded"))</f>
        <v>Missing</v>
      </c>
    </row>
    <row r="24" customFormat="false" ht="14.25" hidden="false" customHeight="false" outlineLevel="0" collapsed="false">
      <c r="A24" s="12" t="n">
        <v>18</v>
      </c>
      <c r="B24" s="22" t="str">
        <f aca="false">IFERROR(INDEX(Roster!$D$5:$D$56,MATCH($A24,Roster!$A$5:$A$56,0)),"(not on roster)")</f>
        <v>Trevin Cutrer</v>
      </c>
      <c r="C24" s="13"/>
      <c r="D24" s="13"/>
      <c r="E24" s="13"/>
      <c r="F24" s="13"/>
      <c r="G24" s="13"/>
      <c r="H24" s="12" t="str">
        <f aca="false">IF(COUNT(C24:G24)=0,"",SUM(C24:G24))</f>
        <v/>
      </c>
      <c r="I24" s="13"/>
      <c r="J24" s="13"/>
      <c r="K24" s="13"/>
      <c r="L24" s="12" t="str">
        <f aca="false">IF(COUNT(I24:K24)=0,"",SUM(I24:K24))</f>
        <v/>
      </c>
      <c r="M24" s="16" t="str">
        <f aca="false">IF(COUNT(C24:G24,I24:K24)=COUNT($C$5:$G$5,$I$5:$K$5),SUM(C24:G24,I24:K24),"")</f>
        <v/>
      </c>
      <c r="N24" s="15" t="str">
        <f aca="false">IF(ISNUMBER(M24),M24/$M$5,"")</f>
        <v/>
      </c>
      <c r="O24" s="12" t="str">
        <f aca="false">IF(ISNUMBER(M24),IF(M24&gt;=$T$3,"Strong",IF(M24&gt;=$T$4,"Satisfactory","Needs support")),"")</f>
        <v/>
      </c>
      <c r="P24" s="12" t="str">
        <f aca="false">IF(ISNUMBER(M24),RANK(M24,$M$7:$M$58,0),"")</f>
        <v/>
      </c>
      <c r="Q24" s="12" t="str">
        <f aca="false">IF(COUNT(C24:G24,I24:K24)=0,"Missing",IF(COUNT(C24:G24,I24:K24)&lt;COUNT($C$5:$G$5,$I$5:$K$5),"Incomplete","Graded"))</f>
        <v>Missing</v>
      </c>
    </row>
    <row r="25" customFormat="false" ht="14.25" hidden="false" customHeight="false" outlineLevel="0" collapsed="false">
      <c r="A25" s="12" t="n">
        <v>19</v>
      </c>
      <c r="B25" s="22" t="str">
        <f aca="false">IFERROR(INDEX(Roster!$D$5:$D$56,MATCH($A25,Roster!$A$5:$A$56,0)),"(not on roster)")</f>
        <v>Elizabeth Dillah</v>
      </c>
      <c r="C25" s="13"/>
      <c r="D25" s="13"/>
      <c r="E25" s="13"/>
      <c r="F25" s="13"/>
      <c r="G25" s="13"/>
      <c r="H25" s="12" t="str">
        <f aca="false">IF(COUNT(C25:G25)=0,"",SUM(C25:G25))</f>
        <v/>
      </c>
      <c r="I25" s="13"/>
      <c r="J25" s="13"/>
      <c r="K25" s="13"/>
      <c r="L25" s="12" t="str">
        <f aca="false">IF(COUNT(I25:K25)=0,"",SUM(I25:K25))</f>
        <v/>
      </c>
      <c r="M25" s="16" t="str">
        <f aca="false">IF(COUNT(C25:G25,I25:K25)=COUNT($C$5:$G$5,$I$5:$K$5),SUM(C25:G25,I25:K25),"")</f>
        <v/>
      </c>
      <c r="N25" s="15" t="str">
        <f aca="false">IF(ISNUMBER(M25),M25/$M$5,"")</f>
        <v/>
      </c>
      <c r="O25" s="12" t="str">
        <f aca="false">IF(ISNUMBER(M25),IF(M25&gt;=$T$3,"Strong",IF(M25&gt;=$T$4,"Satisfactory","Needs support")),"")</f>
        <v/>
      </c>
      <c r="P25" s="12" t="str">
        <f aca="false">IF(ISNUMBER(M25),RANK(M25,$M$7:$M$58,0),"")</f>
        <v/>
      </c>
      <c r="Q25" s="12" t="str">
        <f aca="false">IF(COUNT(C25:G25,I25:K25)=0,"Missing",IF(COUNT(C25:G25,I25:K25)&lt;COUNT($C$5:$G$5,$I$5:$K$5),"Incomplete","Graded"))</f>
        <v>Missing</v>
      </c>
    </row>
    <row r="26" customFormat="false" ht="14.25" hidden="false" customHeight="false" outlineLevel="0" collapsed="false">
      <c r="A26" s="12" t="n">
        <v>20</v>
      </c>
      <c r="B26" s="22" t="str">
        <f aca="false">IFERROR(INDEX(Roster!$D$5:$D$56,MATCH($A26,Roster!$A$5:$A$56,0)),"(not on roster)")</f>
        <v>Jack Elsas</v>
      </c>
      <c r="C26" s="13"/>
      <c r="D26" s="13"/>
      <c r="E26" s="13"/>
      <c r="F26" s="13"/>
      <c r="G26" s="13"/>
      <c r="H26" s="12" t="str">
        <f aca="false">IF(COUNT(C26:G26)=0,"",SUM(C26:G26))</f>
        <v/>
      </c>
      <c r="I26" s="13"/>
      <c r="J26" s="13"/>
      <c r="K26" s="13"/>
      <c r="L26" s="12" t="str">
        <f aca="false">IF(COUNT(I26:K26)=0,"",SUM(I26:K26))</f>
        <v/>
      </c>
      <c r="M26" s="16" t="str">
        <f aca="false">IF(COUNT(C26:G26,I26:K26)=COUNT($C$5:$G$5,$I$5:$K$5),SUM(C26:G26,I26:K26),"")</f>
        <v/>
      </c>
      <c r="N26" s="15" t="str">
        <f aca="false">IF(ISNUMBER(M26),M26/$M$5,"")</f>
        <v/>
      </c>
      <c r="O26" s="12" t="str">
        <f aca="false">IF(ISNUMBER(M26),IF(M26&gt;=$T$3,"Strong",IF(M26&gt;=$T$4,"Satisfactory","Needs support")),"")</f>
        <v/>
      </c>
      <c r="P26" s="12" t="str">
        <f aca="false">IF(ISNUMBER(M26),RANK(M26,$M$7:$M$58,0),"")</f>
        <v/>
      </c>
      <c r="Q26" s="12" t="str">
        <f aca="false">IF(COUNT(C26:G26,I26:K26)=0,"Missing",IF(COUNT(C26:G26,I26:K26)&lt;COUNT($C$5:$G$5,$I$5:$K$5),"Incomplete","Graded"))</f>
        <v>Missing</v>
      </c>
    </row>
    <row r="27" customFormat="false" ht="14.25" hidden="false" customHeight="false" outlineLevel="0" collapsed="false">
      <c r="A27" s="12" t="n">
        <v>21</v>
      </c>
      <c r="B27" s="22" t="str">
        <f aca="false">IFERROR(INDEX(Roster!$D$5:$D$56,MATCH($A27,Roster!$A$5:$A$56,0)),"(not on roster)")</f>
        <v>Connor Felux</v>
      </c>
      <c r="C27" s="13"/>
      <c r="D27" s="13"/>
      <c r="E27" s="13"/>
      <c r="F27" s="13"/>
      <c r="G27" s="13"/>
      <c r="H27" s="12" t="str">
        <f aca="false">IF(COUNT(C27:G27)=0,"",SUM(C27:G27))</f>
        <v/>
      </c>
      <c r="I27" s="13"/>
      <c r="J27" s="13"/>
      <c r="K27" s="13"/>
      <c r="L27" s="12" t="str">
        <f aca="false">IF(COUNT(I27:K27)=0,"",SUM(I27:K27))</f>
        <v/>
      </c>
      <c r="M27" s="16" t="str">
        <f aca="false">IF(COUNT(C27:G27,I27:K27)=COUNT($C$5:$G$5,$I$5:$K$5),SUM(C27:G27,I27:K27),"")</f>
        <v/>
      </c>
      <c r="N27" s="15" t="str">
        <f aca="false">IF(ISNUMBER(M27),M27/$M$5,"")</f>
        <v/>
      </c>
      <c r="O27" s="12" t="str">
        <f aca="false">IF(ISNUMBER(M27),IF(M27&gt;=$T$3,"Strong",IF(M27&gt;=$T$4,"Satisfactory","Needs support")),"")</f>
        <v/>
      </c>
      <c r="P27" s="12" t="str">
        <f aca="false">IF(ISNUMBER(M27),RANK(M27,$M$7:$M$58,0),"")</f>
        <v/>
      </c>
      <c r="Q27" s="12" t="str">
        <f aca="false">IF(COUNT(C27:G27,I27:K27)=0,"Missing",IF(COUNT(C27:G27,I27:K27)&lt;COUNT($C$5:$G$5,$I$5:$K$5),"Incomplete","Graded"))</f>
        <v>Missing</v>
      </c>
    </row>
    <row r="28" customFormat="false" ht="14.25" hidden="false" customHeight="false" outlineLevel="0" collapsed="false">
      <c r="A28" s="12" t="n">
        <v>22</v>
      </c>
      <c r="B28" s="22" t="str">
        <f aca="false">IFERROR(INDEX(Roster!$D$5:$D$56,MATCH($A28,Roster!$A$5:$A$56,0)),"(not on roster)")</f>
        <v>Hunter Gates</v>
      </c>
      <c r="C28" s="13"/>
      <c r="D28" s="13"/>
      <c r="E28" s="13"/>
      <c r="F28" s="13"/>
      <c r="G28" s="13"/>
      <c r="H28" s="12" t="str">
        <f aca="false">IF(COUNT(C28:G28)=0,"",SUM(C28:G28))</f>
        <v/>
      </c>
      <c r="I28" s="13"/>
      <c r="J28" s="13"/>
      <c r="K28" s="13"/>
      <c r="L28" s="12" t="str">
        <f aca="false">IF(COUNT(I28:K28)=0,"",SUM(I28:K28))</f>
        <v/>
      </c>
      <c r="M28" s="16" t="str">
        <f aca="false">IF(COUNT(C28:G28,I28:K28)=COUNT($C$5:$G$5,$I$5:$K$5),SUM(C28:G28,I28:K28),"")</f>
        <v/>
      </c>
      <c r="N28" s="15" t="str">
        <f aca="false">IF(ISNUMBER(M28),M28/$M$5,"")</f>
        <v/>
      </c>
      <c r="O28" s="12" t="str">
        <f aca="false">IF(ISNUMBER(M28),IF(M28&gt;=$T$3,"Strong",IF(M28&gt;=$T$4,"Satisfactory","Needs support")),"")</f>
        <v/>
      </c>
      <c r="P28" s="12" t="str">
        <f aca="false">IF(ISNUMBER(M28),RANK(M28,$M$7:$M$58,0),"")</f>
        <v/>
      </c>
      <c r="Q28" s="12" t="str">
        <f aca="false">IF(COUNT(C28:G28,I28:K28)=0,"Missing",IF(COUNT(C28:G28,I28:K28)&lt;COUNT($C$5:$G$5,$I$5:$K$5),"Incomplete","Graded"))</f>
        <v>Missing</v>
      </c>
    </row>
    <row r="29" customFormat="false" ht="14.25" hidden="false" customHeight="false" outlineLevel="0" collapsed="false">
      <c r="A29" s="12" t="n">
        <v>23</v>
      </c>
      <c r="B29" s="22" t="str">
        <f aca="false">IFERROR(INDEX(Roster!$D$5:$D$56,MATCH($A29,Roster!$A$5:$A$56,0)),"(not on roster)")</f>
        <v>Brinda Gayen</v>
      </c>
      <c r="C29" s="13"/>
      <c r="D29" s="13"/>
      <c r="E29" s="13"/>
      <c r="F29" s="13"/>
      <c r="G29" s="13"/>
      <c r="H29" s="12" t="str">
        <f aca="false">IF(COUNT(C29:G29)=0,"",SUM(C29:G29))</f>
        <v/>
      </c>
      <c r="I29" s="13"/>
      <c r="J29" s="13"/>
      <c r="K29" s="13"/>
      <c r="L29" s="12" t="str">
        <f aca="false">IF(COUNT(I29:K29)=0,"",SUM(I29:K29))</f>
        <v/>
      </c>
      <c r="M29" s="16" t="str">
        <f aca="false">IF(COUNT(C29:G29,I29:K29)=COUNT($C$5:$G$5,$I$5:$K$5),SUM(C29:G29,I29:K29),"")</f>
        <v/>
      </c>
      <c r="N29" s="15" t="str">
        <f aca="false">IF(ISNUMBER(M29),M29/$M$5,"")</f>
        <v/>
      </c>
      <c r="O29" s="12" t="str">
        <f aca="false">IF(ISNUMBER(M29),IF(M29&gt;=$T$3,"Strong",IF(M29&gt;=$T$4,"Satisfactory","Needs support")),"")</f>
        <v/>
      </c>
      <c r="P29" s="12" t="str">
        <f aca="false">IF(ISNUMBER(M29),RANK(M29,$M$7:$M$58,0),"")</f>
        <v/>
      </c>
      <c r="Q29" s="12" t="str">
        <f aca="false">IF(COUNT(C29:G29,I29:K29)=0,"Missing",IF(COUNT(C29:G29,I29:K29)&lt;COUNT($C$5:$G$5,$I$5:$K$5),"Incomplete","Graded"))</f>
        <v>Missing</v>
      </c>
    </row>
    <row r="30" customFormat="false" ht="14.25" hidden="false" customHeight="false" outlineLevel="0" collapsed="false">
      <c r="A30" s="12" t="n">
        <v>24</v>
      </c>
      <c r="B30" s="22" t="str">
        <f aca="false">IFERROR(INDEX(Roster!$D$5:$D$56,MATCH($A30,Roster!$A$5:$A$56,0)),"(not on roster)")</f>
        <v>Victoria Gaytan</v>
      </c>
      <c r="C30" s="13"/>
      <c r="D30" s="13"/>
      <c r="E30" s="13"/>
      <c r="F30" s="13"/>
      <c r="G30" s="13"/>
      <c r="H30" s="12" t="str">
        <f aca="false">IF(COUNT(C30:G30)=0,"",SUM(C30:G30))</f>
        <v/>
      </c>
      <c r="I30" s="13"/>
      <c r="J30" s="13"/>
      <c r="K30" s="13"/>
      <c r="L30" s="12" t="str">
        <f aca="false">IF(COUNT(I30:K30)=0,"",SUM(I30:K30))</f>
        <v/>
      </c>
      <c r="M30" s="16" t="str">
        <f aca="false">IF(COUNT(C30:G30,I30:K30)=COUNT($C$5:$G$5,$I$5:$K$5),SUM(C30:G30,I30:K30),"")</f>
        <v/>
      </c>
      <c r="N30" s="15" t="str">
        <f aca="false">IF(ISNUMBER(M30),M30/$M$5,"")</f>
        <v/>
      </c>
      <c r="O30" s="12" t="str">
        <f aca="false">IF(ISNUMBER(M30),IF(M30&gt;=$T$3,"Strong",IF(M30&gt;=$T$4,"Satisfactory","Needs support")),"")</f>
        <v/>
      </c>
      <c r="P30" s="12" t="str">
        <f aca="false">IF(ISNUMBER(M30),RANK(M30,$M$7:$M$58,0),"")</f>
        <v/>
      </c>
      <c r="Q30" s="12" t="str">
        <f aca="false">IF(COUNT(C30:G30,I30:K30)=0,"Missing",IF(COUNT(C30:G30,I30:K30)&lt;COUNT($C$5:$G$5,$I$5:$K$5),"Incomplete","Graded"))</f>
        <v>Missing</v>
      </c>
    </row>
    <row r="31" customFormat="false" ht="14.25" hidden="false" customHeight="false" outlineLevel="0" collapsed="false">
      <c r="A31" s="12" t="n">
        <v>25</v>
      </c>
      <c r="B31" s="22" t="str">
        <f aca="false">IFERROR(INDEX(Roster!$D$5:$D$56,MATCH($A31,Roster!$A$5:$A$56,0)),"(not on roster)")</f>
        <v>Jocelyn Gonzalez</v>
      </c>
      <c r="C31" s="13"/>
      <c r="D31" s="13"/>
      <c r="E31" s="13"/>
      <c r="F31" s="13"/>
      <c r="G31" s="13"/>
      <c r="H31" s="12" t="str">
        <f aca="false">IF(COUNT(C31:G31)=0,"",SUM(C31:G31))</f>
        <v/>
      </c>
      <c r="I31" s="13"/>
      <c r="J31" s="13"/>
      <c r="K31" s="13"/>
      <c r="L31" s="12" t="str">
        <f aca="false">IF(COUNT(I31:K31)=0,"",SUM(I31:K31))</f>
        <v/>
      </c>
      <c r="M31" s="16" t="str">
        <f aca="false">IF(COUNT(C31:G31,I31:K31)=COUNT($C$5:$G$5,$I$5:$K$5),SUM(C31:G31,I31:K31),"")</f>
        <v/>
      </c>
      <c r="N31" s="15" t="str">
        <f aca="false">IF(ISNUMBER(M31),M31/$M$5,"")</f>
        <v/>
      </c>
      <c r="O31" s="12" t="str">
        <f aca="false">IF(ISNUMBER(M31),IF(M31&gt;=$T$3,"Strong",IF(M31&gt;=$T$4,"Satisfactory","Needs support")),"")</f>
        <v/>
      </c>
      <c r="P31" s="12" t="str">
        <f aca="false">IF(ISNUMBER(M31),RANK(M31,$M$7:$M$58,0),"")</f>
        <v/>
      </c>
      <c r="Q31" s="12" t="str">
        <f aca="false">IF(COUNT(C31:G31,I31:K31)=0,"Missing",IF(COUNT(C31:G31,I31:K31)&lt;COUNT($C$5:$G$5,$I$5:$K$5),"Incomplete","Graded"))</f>
        <v>Missing</v>
      </c>
    </row>
    <row r="32" customFormat="false" ht="14.25" hidden="false" customHeight="false" outlineLevel="0" collapsed="false">
      <c r="A32" s="12" t="n">
        <v>26</v>
      </c>
      <c r="B32" s="22" t="str">
        <f aca="false">IFERROR(INDEX(Roster!$D$5:$D$56,MATCH($A32,Roster!$A$5:$A$56,0)),"(not on roster)")</f>
        <v>Michelle Gutierrez</v>
      </c>
      <c r="C32" s="13"/>
      <c r="D32" s="13"/>
      <c r="E32" s="13"/>
      <c r="F32" s="13"/>
      <c r="G32" s="13"/>
      <c r="H32" s="12" t="str">
        <f aca="false">IF(COUNT(C32:G32)=0,"",SUM(C32:G32))</f>
        <v/>
      </c>
      <c r="I32" s="13"/>
      <c r="J32" s="13"/>
      <c r="K32" s="13"/>
      <c r="L32" s="12" t="str">
        <f aca="false">IF(COUNT(I32:K32)=0,"",SUM(I32:K32))</f>
        <v/>
      </c>
      <c r="M32" s="16" t="str">
        <f aca="false">IF(COUNT(C32:G32,I32:K32)=COUNT($C$5:$G$5,$I$5:$K$5),SUM(C32:G32,I32:K32),"")</f>
        <v/>
      </c>
      <c r="N32" s="15" t="str">
        <f aca="false">IF(ISNUMBER(M32),M32/$M$5,"")</f>
        <v/>
      </c>
      <c r="O32" s="12" t="str">
        <f aca="false">IF(ISNUMBER(M32),IF(M32&gt;=$T$3,"Strong",IF(M32&gt;=$T$4,"Satisfactory","Needs support")),"")</f>
        <v/>
      </c>
      <c r="P32" s="12" t="str">
        <f aca="false">IF(ISNUMBER(M32),RANK(M32,$M$7:$M$58,0),"")</f>
        <v/>
      </c>
      <c r="Q32" s="12" t="str">
        <f aca="false">IF(COUNT(C32:G32,I32:K32)=0,"Missing",IF(COUNT(C32:G32,I32:K32)&lt;COUNT($C$5:$G$5,$I$5:$K$5),"Incomplete","Graded"))</f>
        <v>Missing</v>
      </c>
    </row>
    <row r="33" customFormat="false" ht="14.25" hidden="false" customHeight="false" outlineLevel="0" collapsed="false">
      <c r="A33" s="12" t="n">
        <v>27</v>
      </c>
      <c r="B33" s="22" t="str">
        <f aca="false">IFERROR(INDEX(Roster!$D$5:$D$56,MATCH($A33,Roster!$A$5:$A$56,0)),"(not on roster)")</f>
        <v>Rachel Holmes</v>
      </c>
      <c r="C33" s="13"/>
      <c r="D33" s="13"/>
      <c r="E33" s="13"/>
      <c r="F33" s="13"/>
      <c r="G33" s="13"/>
      <c r="H33" s="12" t="str">
        <f aca="false">IF(COUNT(C33:G33)=0,"",SUM(C33:G33))</f>
        <v/>
      </c>
      <c r="I33" s="13"/>
      <c r="J33" s="13"/>
      <c r="K33" s="13"/>
      <c r="L33" s="12" t="str">
        <f aca="false">IF(COUNT(I33:K33)=0,"",SUM(I33:K33))</f>
        <v/>
      </c>
      <c r="M33" s="16" t="str">
        <f aca="false">IF(COUNT(C33:G33,I33:K33)=COUNT($C$5:$G$5,$I$5:$K$5),SUM(C33:G33,I33:K33),"")</f>
        <v/>
      </c>
      <c r="N33" s="15" t="str">
        <f aca="false">IF(ISNUMBER(M33),M33/$M$5,"")</f>
        <v/>
      </c>
      <c r="O33" s="12" t="str">
        <f aca="false">IF(ISNUMBER(M33),IF(M33&gt;=$T$3,"Strong",IF(M33&gt;=$T$4,"Satisfactory","Needs support")),"")</f>
        <v/>
      </c>
      <c r="P33" s="12" t="str">
        <f aca="false">IF(ISNUMBER(M33),RANK(M33,$M$7:$M$58,0),"")</f>
        <v/>
      </c>
      <c r="Q33" s="12" t="str">
        <f aca="false">IF(COUNT(C33:G33,I33:K33)=0,"Missing",IF(COUNT(C33:G33,I33:K33)&lt;COUNT($C$5:$G$5,$I$5:$K$5),"Incomplete","Graded"))</f>
        <v>Missing</v>
      </c>
    </row>
    <row r="34" customFormat="false" ht="14.25" hidden="false" customHeight="false" outlineLevel="0" collapsed="false">
      <c r="A34" s="12" t="n">
        <v>28</v>
      </c>
      <c r="B34" s="22" t="str">
        <f aca="false">IFERROR(INDEX(Roster!$D$5:$D$56,MATCH($A34,Roster!$A$5:$A$56,0)),"(not on roster)")</f>
        <v>Emily Ickert</v>
      </c>
      <c r="C34" s="13"/>
      <c r="D34" s="13"/>
      <c r="E34" s="13"/>
      <c r="F34" s="13"/>
      <c r="G34" s="13"/>
      <c r="H34" s="12" t="str">
        <f aca="false">IF(COUNT(C34:G34)=0,"",SUM(C34:G34))</f>
        <v/>
      </c>
      <c r="I34" s="13"/>
      <c r="J34" s="13"/>
      <c r="K34" s="13"/>
      <c r="L34" s="12" t="str">
        <f aca="false">IF(COUNT(I34:K34)=0,"",SUM(I34:K34))</f>
        <v/>
      </c>
      <c r="M34" s="16" t="str">
        <f aca="false">IF(COUNT(C34:G34,I34:K34)=COUNT($C$5:$G$5,$I$5:$K$5),SUM(C34:G34,I34:K34),"")</f>
        <v/>
      </c>
      <c r="N34" s="15" t="str">
        <f aca="false">IF(ISNUMBER(M34),M34/$M$5,"")</f>
        <v/>
      </c>
      <c r="O34" s="12" t="str">
        <f aca="false">IF(ISNUMBER(M34),IF(M34&gt;=$T$3,"Strong",IF(M34&gt;=$T$4,"Satisfactory","Needs support")),"")</f>
        <v/>
      </c>
      <c r="P34" s="12" t="str">
        <f aca="false">IF(ISNUMBER(M34),RANK(M34,$M$7:$M$58,0),"")</f>
        <v/>
      </c>
      <c r="Q34" s="12" t="str">
        <f aca="false">IF(COUNT(C34:G34,I34:K34)=0,"Missing",IF(COUNT(C34:G34,I34:K34)&lt;COUNT($C$5:$G$5,$I$5:$K$5),"Incomplete","Graded"))</f>
        <v>Missing</v>
      </c>
    </row>
    <row r="35" customFormat="false" ht="14.25" hidden="false" customHeight="false" outlineLevel="0" collapsed="false">
      <c r="A35" s="12" t="n">
        <v>29</v>
      </c>
      <c r="B35" s="22" t="str">
        <f aca="false">IFERROR(INDEX(Roster!$D$5:$D$56,MATCH($A35,Roster!$A$5:$A$56,0)),"(not on roster)")</f>
        <v>Mihal Jacob</v>
      </c>
      <c r="C35" s="13"/>
      <c r="D35" s="13"/>
      <c r="E35" s="13"/>
      <c r="F35" s="13"/>
      <c r="G35" s="13"/>
      <c r="H35" s="12" t="str">
        <f aca="false">IF(COUNT(C35:G35)=0,"",SUM(C35:G35))</f>
        <v/>
      </c>
      <c r="I35" s="13"/>
      <c r="J35" s="13"/>
      <c r="K35" s="13"/>
      <c r="L35" s="12" t="str">
        <f aca="false">IF(COUNT(I35:K35)=0,"",SUM(I35:K35))</f>
        <v/>
      </c>
      <c r="M35" s="16" t="str">
        <f aca="false">IF(COUNT(C35:G35,I35:K35)=COUNT($C$5:$G$5,$I$5:$K$5),SUM(C35:G35,I35:K35),"")</f>
        <v/>
      </c>
      <c r="N35" s="15" t="str">
        <f aca="false">IF(ISNUMBER(M35),M35/$M$5,"")</f>
        <v/>
      </c>
      <c r="O35" s="12" t="str">
        <f aca="false">IF(ISNUMBER(M35),IF(M35&gt;=$T$3,"Strong",IF(M35&gt;=$T$4,"Satisfactory","Needs support")),"")</f>
        <v/>
      </c>
      <c r="P35" s="12" t="str">
        <f aca="false">IF(ISNUMBER(M35),RANK(M35,$M$7:$M$58,0),"")</f>
        <v/>
      </c>
      <c r="Q35" s="12" t="str">
        <f aca="false">IF(COUNT(C35:G35,I35:K35)=0,"Missing",IF(COUNT(C35:G35,I35:K35)&lt;COUNT($C$5:$G$5,$I$5:$K$5),"Incomplete","Graded"))</f>
        <v>Missing</v>
      </c>
    </row>
    <row r="36" customFormat="false" ht="14.25" hidden="false" customHeight="false" outlineLevel="0" collapsed="false">
      <c r="A36" s="12" t="n">
        <v>30</v>
      </c>
      <c r="B36" s="22" t="str">
        <f aca="false">IFERROR(INDEX(Roster!$D$5:$D$56,MATCH($A36,Roster!$A$5:$A$56,0)),"(not on roster)")</f>
        <v>Alyssa Jasso</v>
      </c>
      <c r="C36" s="13"/>
      <c r="D36" s="13"/>
      <c r="E36" s="13"/>
      <c r="F36" s="13"/>
      <c r="G36" s="13"/>
      <c r="H36" s="12" t="str">
        <f aca="false">IF(COUNT(C36:G36)=0,"",SUM(C36:G36))</f>
        <v/>
      </c>
      <c r="I36" s="13"/>
      <c r="J36" s="13"/>
      <c r="K36" s="13"/>
      <c r="L36" s="12" t="str">
        <f aca="false">IF(COUNT(I36:K36)=0,"",SUM(I36:K36))</f>
        <v/>
      </c>
      <c r="M36" s="16" t="str">
        <f aca="false">IF(COUNT(C36:G36,I36:K36)=COUNT($C$5:$G$5,$I$5:$K$5),SUM(C36:G36,I36:K36),"")</f>
        <v/>
      </c>
      <c r="N36" s="15" t="str">
        <f aca="false">IF(ISNUMBER(M36),M36/$M$5,"")</f>
        <v/>
      </c>
      <c r="O36" s="12" t="str">
        <f aca="false">IF(ISNUMBER(M36),IF(M36&gt;=$T$3,"Strong",IF(M36&gt;=$T$4,"Satisfactory","Needs support")),"")</f>
        <v/>
      </c>
      <c r="P36" s="12" t="str">
        <f aca="false">IF(ISNUMBER(M36),RANK(M36,$M$7:$M$58,0),"")</f>
        <v/>
      </c>
      <c r="Q36" s="12" t="str">
        <f aca="false">IF(COUNT(C36:G36,I36:K36)=0,"Missing",IF(COUNT(C36:G36,I36:K36)&lt;COUNT($C$5:$G$5,$I$5:$K$5),"Incomplete","Graded"))</f>
        <v>Missing</v>
      </c>
    </row>
    <row r="37" customFormat="false" ht="14.25" hidden="false" customHeight="false" outlineLevel="0" collapsed="false">
      <c r="A37" s="12" t="n">
        <v>31</v>
      </c>
      <c r="B37" s="22" t="str">
        <f aca="false">IFERROR(INDEX(Roster!$D$5:$D$56,MATCH($A37,Roster!$A$5:$A$56,0)),"(not on roster)")</f>
        <v>Isabella Juarez</v>
      </c>
      <c r="C37" s="13"/>
      <c r="D37" s="13"/>
      <c r="E37" s="13"/>
      <c r="F37" s="13"/>
      <c r="G37" s="13"/>
      <c r="H37" s="12" t="str">
        <f aca="false">IF(COUNT(C37:G37)=0,"",SUM(C37:G37))</f>
        <v/>
      </c>
      <c r="I37" s="13"/>
      <c r="J37" s="13"/>
      <c r="K37" s="13"/>
      <c r="L37" s="12" t="str">
        <f aca="false">IF(COUNT(I37:K37)=0,"",SUM(I37:K37))</f>
        <v/>
      </c>
      <c r="M37" s="16" t="str">
        <f aca="false">IF(COUNT(C37:G37,I37:K37)=COUNT($C$5:$G$5,$I$5:$K$5),SUM(C37:G37,I37:K37),"")</f>
        <v/>
      </c>
      <c r="N37" s="15" t="str">
        <f aca="false">IF(ISNUMBER(M37),M37/$M$5,"")</f>
        <v/>
      </c>
      <c r="O37" s="12" t="str">
        <f aca="false">IF(ISNUMBER(M37),IF(M37&gt;=$T$3,"Strong",IF(M37&gt;=$T$4,"Satisfactory","Needs support")),"")</f>
        <v/>
      </c>
      <c r="P37" s="12" t="str">
        <f aca="false">IF(ISNUMBER(M37),RANK(M37,$M$7:$M$58,0),"")</f>
        <v/>
      </c>
      <c r="Q37" s="12" t="str">
        <f aca="false">IF(COUNT(C37:G37,I37:K37)=0,"Missing",IF(COUNT(C37:G37,I37:K37)&lt;COUNT($C$5:$G$5,$I$5:$K$5),"Incomplete","Graded"))</f>
        <v>Missing</v>
      </c>
    </row>
    <row r="38" customFormat="false" ht="26.25" hidden="false" customHeight="true" outlineLevel="0" collapsed="false">
      <c r="A38" s="12" t="n">
        <v>32</v>
      </c>
      <c r="B38" s="22" t="str">
        <f aca="false">IFERROR(INDEX(Roster!$D$5:$D$56,MATCH($A38,Roster!$A$5:$A$56,0)),"(not on roster)")</f>
        <v>Maryam Ka</v>
      </c>
      <c r="C38" s="13"/>
      <c r="D38" s="13"/>
      <c r="E38" s="13"/>
      <c r="F38" s="13"/>
      <c r="G38" s="13"/>
      <c r="H38" s="12" t="str">
        <f aca="false">IF(COUNT(C38:G38)=0,"",SUM(C38:G38))</f>
        <v/>
      </c>
      <c r="I38" s="13"/>
      <c r="J38" s="13"/>
      <c r="K38" s="13"/>
      <c r="L38" s="12" t="str">
        <f aca="false">IF(COUNT(I38:K38)=0,"",SUM(I38:K38))</f>
        <v/>
      </c>
      <c r="M38" s="16" t="str">
        <f aca="false">IF(COUNT(C38:G38,I38:K38)=COUNT($C$5:$G$5,$I$5:$K$5),SUM(C38:G38,I38:K38),"")</f>
        <v/>
      </c>
      <c r="N38" s="15" t="str">
        <f aca="false">IF(ISNUMBER(M38),M38/$M$5,"")</f>
        <v/>
      </c>
      <c r="O38" s="12" t="str">
        <f aca="false">IF(ISNUMBER(M38),IF(M38&gt;=$T$3,"Strong",IF(M38&gt;=$T$4,"Satisfactory","Needs support")),"")</f>
        <v/>
      </c>
      <c r="P38" s="12" t="str">
        <f aca="false">IF(ISNUMBER(M38),RANK(M38,$M$7:$M$58,0),"")</f>
        <v/>
      </c>
      <c r="Q38" s="12" t="str">
        <f aca="false">IF(COUNT(C38:G38,I38:K38)=0,"Missing",IF(COUNT(C38:G38,I38:K38)&lt;COUNT($C$5:$G$5,$I$5:$K$5),"Incomplete","Graded"))</f>
        <v>Missing</v>
      </c>
    </row>
    <row r="39" customFormat="false" ht="14.25" hidden="false" customHeight="false" outlineLevel="0" collapsed="false">
      <c r="A39" s="12" t="n">
        <v>33</v>
      </c>
      <c r="B39" s="22" t="str">
        <f aca="false">IFERROR(INDEX(Roster!$D$5:$D$56,MATCH($A39,Roster!$A$5:$A$56,0)),"(not on roster)")</f>
        <v>Jenna Koestler</v>
      </c>
      <c r="C39" s="13"/>
      <c r="D39" s="13"/>
      <c r="E39" s="13"/>
      <c r="F39" s="13"/>
      <c r="G39" s="13"/>
      <c r="H39" s="12" t="str">
        <f aca="false">IF(COUNT(C39:G39)=0,"",SUM(C39:G39))</f>
        <v/>
      </c>
      <c r="I39" s="13"/>
      <c r="J39" s="13"/>
      <c r="K39" s="13"/>
      <c r="L39" s="12" t="str">
        <f aca="false">IF(COUNT(I39:K39)=0,"",SUM(I39:K39))</f>
        <v/>
      </c>
      <c r="M39" s="16" t="str">
        <f aca="false">IF(COUNT(C39:G39,I39:K39)=COUNT($C$5:$G$5,$I$5:$K$5),SUM(C39:G39,I39:K39),"")</f>
        <v/>
      </c>
      <c r="N39" s="15" t="str">
        <f aca="false">IF(ISNUMBER(M39),M39/$M$5,"")</f>
        <v/>
      </c>
      <c r="O39" s="12" t="str">
        <f aca="false">IF(ISNUMBER(M39),IF(M39&gt;=$T$3,"Strong",IF(M39&gt;=$T$4,"Satisfactory","Needs support")),"")</f>
        <v/>
      </c>
      <c r="P39" s="12" t="str">
        <f aca="false">IF(ISNUMBER(M39),RANK(M39,$M$7:$M$58,0),"")</f>
        <v/>
      </c>
      <c r="Q39" s="12" t="str">
        <f aca="false">IF(COUNT(C39:G39,I39:K39)=0,"Missing",IF(COUNT(C39:G39,I39:K39)&lt;COUNT($C$5:$G$5,$I$5:$K$5),"Incomplete","Graded"))</f>
        <v>Missing</v>
      </c>
    </row>
    <row r="40" customFormat="false" ht="14.25" hidden="false" customHeight="false" outlineLevel="0" collapsed="false">
      <c r="A40" s="12" t="n">
        <v>34</v>
      </c>
      <c r="B40" s="22" t="str">
        <f aca="false">IFERROR(INDEX(Roster!$D$5:$D$56,MATCH($A40,Roster!$A$5:$A$56,0)),"(not on roster)")</f>
        <v>Shawn Kwende</v>
      </c>
      <c r="C40" s="13"/>
      <c r="D40" s="13"/>
      <c r="E40" s="13"/>
      <c r="F40" s="13"/>
      <c r="G40" s="13"/>
      <c r="H40" s="12" t="str">
        <f aca="false">IF(COUNT(C40:G40)=0,"",SUM(C40:G40))</f>
        <v/>
      </c>
      <c r="I40" s="13"/>
      <c r="J40" s="13"/>
      <c r="K40" s="13"/>
      <c r="L40" s="12" t="str">
        <f aca="false">IF(COUNT(I40:K40)=0,"",SUM(I40:K40))</f>
        <v/>
      </c>
      <c r="M40" s="16" t="str">
        <f aca="false">IF(COUNT(C40:G40,I40:K40)=COUNT($C$5:$G$5,$I$5:$K$5),SUM(C40:G40,I40:K40),"")</f>
        <v/>
      </c>
      <c r="N40" s="15" t="str">
        <f aca="false">IF(ISNUMBER(M40),M40/$M$5,"")</f>
        <v/>
      </c>
      <c r="O40" s="12" t="str">
        <f aca="false">IF(ISNUMBER(M40),IF(M40&gt;=$T$3,"Strong",IF(M40&gt;=$T$4,"Satisfactory","Needs support")),"")</f>
        <v/>
      </c>
      <c r="P40" s="12" t="str">
        <f aca="false">IF(ISNUMBER(M40),RANK(M40,$M$7:$M$58,0),"")</f>
        <v/>
      </c>
      <c r="Q40" s="12" t="str">
        <f aca="false">IF(COUNT(C40:G40,I40:K40)=0,"Missing",IF(COUNT(C40:G40,I40:K40)&lt;COUNT($C$5:$G$5,$I$5:$K$5),"Incomplete","Graded"))</f>
        <v>Missing</v>
      </c>
    </row>
    <row r="41" customFormat="false" ht="14.25" hidden="false" customHeight="false" outlineLevel="0" collapsed="false">
      <c r="A41" s="12" t="n">
        <v>35</v>
      </c>
      <c r="B41" s="22" t="str">
        <f aca="false">IFERROR(INDEX(Roster!$D$5:$D$56,MATCH($A41,Roster!$A$5:$A$56,0)),"(not on roster)")</f>
        <v>Kara Larsen</v>
      </c>
      <c r="C41" s="13"/>
      <c r="D41" s="13"/>
      <c r="E41" s="13"/>
      <c r="F41" s="13"/>
      <c r="G41" s="13"/>
      <c r="H41" s="12" t="str">
        <f aca="false">IF(COUNT(C41:G41)=0,"",SUM(C41:G41))</f>
        <v/>
      </c>
      <c r="I41" s="13"/>
      <c r="J41" s="13"/>
      <c r="K41" s="13"/>
      <c r="L41" s="12" t="str">
        <f aca="false">IF(COUNT(I41:K41)=0,"",SUM(I41:K41))</f>
        <v/>
      </c>
      <c r="M41" s="16" t="str">
        <f aca="false">IF(COUNT(C41:G41,I41:K41)=COUNT($C$5:$G$5,$I$5:$K$5),SUM(C41:G41,I41:K41),"")</f>
        <v/>
      </c>
      <c r="N41" s="15" t="str">
        <f aca="false">IF(ISNUMBER(M41),M41/$M$5,"")</f>
        <v/>
      </c>
      <c r="O41" s="12" t="str">
        <f aca="false">IF(ISNUMBER(M41),IF(M41&gt;=$T$3,"Strong",IF(M41&gt;=$T$4,"Satisfactory","Needs support")),"")</f>
        <v/>
      </c>
      <c r="P41" s="12" t="str">
        <f aca="false">IF(ISNUMBER(M41),RANK(M41,$M$7:$M$58,0),"")</f>
        <v/>
      </c>
      <c r="Q41" s="12" t="str">
        <f aca="false">IF(COUNT(C41:G41,I41:K41)=0,"Missing",IF(COUNT(C41:G41,I41:K41)&lt;COUNT($C$5:$G$5,$I$5:$K$5),"Incomplete","Graded"))</f>
        <v>Missing</v>
      </c>
    </row>
    <row r="42" customFormat="false" ht="26.25" hidden="false" customHeight="true" outlineLevel="0" collapsed="false">
      <c r="A42" s="12" t="n">
        <v>36</v>
      </c>
      <c r="B42" s="22" t="str">
        <f aca="false">IFERROR(INDEX(Roster!$D$5:$D$56,MATCH($A42,Roster!$A$5:$A$56,0)),"(not on roster)")</f>
        <v>Diego Leal</v>
      </c>
      <c r="C42" s="13"/>
      <c r="D42" s="13"/>
      <c r="E42" s="13"/>
      <c r="F42" s="13"/>
      <c r="G42" s="13"/>
      <c r="H42" s="12" t="str">
        <f aca="false">IF(COUNT(C42:G42)=0,"",SUM(C42:G42))</f>
        <v/>
      </c>
      <c r="I42" s="13"/>
      <c r="J42" s="13"/>
      <c r="K42" s="13"/>
      <c r="L42" s="12" t="str">
        <f aca="false">IF(COUNT(I42:K42)=0,"",SUM(I42:K42))</f>
        <v/>
      </c>
      <c r="M42" s="16" t="str">
        <f aca="false">IF(COUNT(C42:G42,I42:K42)=COUNT($C$5:$G$5,$I$5:$K$5),SUM(C42:G42,I42:K42),"")</f>
        <v/>
      </c>
      <c r="N42" s="15" t="str">
        <f aca="false">IF(ISNUMBER(M42),M42/$M$5,"")</f>
        <v/>
      </c>
      <c r="O42" s="12" t="str">
        <f aca="false">IF(ISNUMBER(M42),IF(M42&gt;=$T$3,"Strong",IF(M42&gt;=$T$4,"Satisfactory","Needs support")),"")</f>
        <v/>
      </c>
      <c r="P42" s="12" t="str">
        <f aca="false">IF(ISNUMBER(M42),RANK(M42,$M$7:$M$58,0),"")</f>
        <v/>
      </c>
      <c r="Q42" s="12" t="str">
        <f aca="false">IF(COUNT(C42:G42,I42:K42)=0,"Missing",IF(COUNT(C42:G42,I42:K42)&lt;COUNT($C$5:$G$5,$I$5:$K$5),"Incomplete","Graded"))</f>
        <v>Missing</v>
      </c>
    </row>
    <row r="43" customFormat="false" ht="14.25" hidden="false" customHeight="false" outlineLevel="0" collapsed="false">
      <c r="A43" s="12" t="n">
        <v>37</v>
      </c>
      <c r="B43" s="22" t="str">
        <f aca="false">IFERROR(INDEX(Roster!$D$5:$D$56,MATCH($A43,Roster!$A$5:$A$56,0)),"(not on roster)")</f>
        <v>Valeria Leon</v>
      </c>
      <c r="C43" s="13"/>
      <c r="D43" s="13"/>
      <c r="E43" s="13"/>
      <c r="F43" s="13"/>
      <c r="G43" s="13"/>
      <c r="H43" s="12" t="str">
        <f aca="false">IF(COUNT(C43:G43)=0,"",SUM(C43:G43))</f>
        <v/>
      </c>
      <c r="I43" s="13"/>
      <c r="J43" s="13"/>
      <c r="K43" s="13"/>
      <c r="L43" s="12" t="str">
        <f aca="false">IF(COUNT(I43:K43)=0,"",SUM(I43:K43))</f>
        <v/>
      </c>
      <c r="M43" s="16" t="str">
        <f aca="false">IF(COUNT(C43:G43,I43:K43)=COUNT($C$5:$G$5,$I$5:$K$5),SUM(C43:G43,I43:K43),"")</f>
        <v/>
      </c>
      <c r="N43" s="15" t="str">
        <f aca="false">IF(ISNUMBER(M43),M43/$M$5,"")</f>
        <v/>
      </c>
      <c r="O43" s="12" t="str">
        <f aca="false">IF(ISNUMBER(M43),IF(M43&gt;=$T$3,"Strong",IF(M43&gt;=$T$4,"Satisfactory","Needs support")),"")</f>
        <v/>
      </c>
      <c r="P43" s="12" t="str">
        <f aca="false">IF(ISNUMBER(M43),RANK(M43,$M$7:$M$58,0),"")</f>
        <v/>
      </c>
      <c r="Q43" s="12" t="str">
        <f aca="false">IF(COUNT(C43:G43,I43:K43)=0,"Missing",IF(COUNT(C43:G43,I43:K43)&lt;COUNT($C$5:$G$5,$I$5:$K$5),"Incomplete","Graded"))</f>
        <v>Missing</v>
      </c>
    </row>
    <row r="44" customFormat="false" ht="14.25" hidden="false" customHeight="false" outlineLevel="0" collapsed="false">
      <c r="A44" s="12" t="n">
        <v>38</v>
      </c>
      <c r="B44" s="22" t="str">
        <f aca="false">IFERROR(INDEX(Roster!$D$5:$D$56,MATCH($A44,Roster!$A$5:$A$56,0)),"(not on roster)")</f>
        <v>Aaron Linhart</v>
      </c>
      <c r="C44" s="13"/>
      <c r="D44" s="13"/>
      <c r="E44" s="13"/>
      <c r="F44" s="13"/>
      <c r="G44" s="13"/>
      <c r="H44" s="12" t="str">
        <f aca="false">IF(COUNT(C44:G44)=0,"",SUM(C44:G44))</f>
        <v/>
      </c>
      <c r="I44" s="13"/>
      <c r="J44" s="13"/>
      <c r="K44" s="13"/>
      <c r="L44" s="12" t="str">
        <f aca="false">IF(COUNT(I44:K44)=0,"",SUM(I44:K44))</f>
        <v/>
      </c>
      <c r="M44" s="16" t="str">
        <f aca="false">IF(COUNT(C44:G44,I44:K44)=COUNT($C$5:$G$5,$I$5:$K$5),SUM(C44:G44,I44:K44),"")</f>
        <v/>
      </c>
      <c r="N44" s="15" t="str">
        <f aca="false">IF(ISNUMBER(M44),M44/$M$5,"")</f>
        <v/>
      </c>
      <c r="O44" s="12" t="str">
        <f aca="false">IF(ISNUMBER(M44),IF(M44&gt;=$T$3,"Strong",IF(M44&gt;=$T$4,"Satisfactory","Needs support")),"")</f>
        <v/>
      </c>
      <c r="P44" s="12" t="str">
        <f aca="false">IF(ISNUMBER(M44),RANK(M44,$M$7:$M$58,0),"")</f>
        <v/>
      </c>
      <c r="Q44" s="12" t="str">
        <f aca="false">IF(COUNT(C44:G44,I44:K44)=0,"Missing",IF(COUNT(C44:G44,I44:K44)&lt;COUNT($C$5:$G$5,$I$5:$K$5),"Incomplete","Graded"))</f>
        <v>Missing</v>
      </c>
    </row>
    <row r="45" customFormat="false" ht="14.25" hidden="false" customHeight="false" outlineLevel="0" collapsed="false">
      <c r="A45" s="12" t="n">
        <v>39</v>
      </c>
      <c r="B45" s="22" t="str">
        <f aca="false">IFERROR(INDEX(Roster!$D$5:$D$56,MATCH($A45,Roster!$A$5:$A$56,0)),"(not on roster)")</f>
        <v>Jared O'neal</v>
      </c>
      <c r="C45" s="13"/>
      <c r="D45" s="13"/>
      <c r="E45" s="13"/>
      <c r="F45" s="13"/>
      <c r="G45" s="13"/>
      <c r="H45" s="12" t="str">
        <f aca="false">IF(COUNT(C45:G45)=0,"",SUM(C45:G45))</f>
        <v/>
      </c>
      <c r="I45" s="13"/>
      <c r="J45" s="13"/>
      <c r="K45" s="13"/>
      <c r="L45" s="12" t="str">
        <f aca="false">IF(COUNT(I45:K45)=0,"",SUM(I45:K45))</f>
        <v/>
      </c>
      <c r="M45" s="16" t="str">
        <f aca="false">IF(COUNT(C45:G45,I45:K45)=COUNT($C$5:$G$5,$I$5:$K$5),SUM(C45:G45,I45:K45),"")</f>
        <v/>
      </c>
      <c r="N45" s="15" t="str">
        <f aca="false">IF(ISNUMBER(M45),M45/$M$5,"")</f>
        <v/>
      </c>
      <c r="O45" s="12" t="str">
        <f aca="false">IF(ISNUMBER(M45),IF(M45&gt;=$T$3,"Strong",IF(M45&gt;=$T$4,"Satisfactory","Needs support")),"")</f>
        <v/>
      </c>
      <c r="P45" s="12" t="str">
        <f aca="false">IF(ISNUMBER(M45),RANK(M45,$M$7:$M$58,0),"")</f>
        <v/>
      </c>
      <c r="Q45" s="12" t="str">
        <f aca="false">IF(COUNT(C45:G45,I45:K45)=0,"Missing",IF(COUNT(C45:G45,I45:K45)&lt;COUNT($C$5:$G$5,$I$5:$K$5),"Incomplete","Graded"))</f>
        <v>Missing</v>
      </c>
    </row>
    <row r="46" customFormat="false" ht="14.25" hidden="false" customHeight="false" outlineLevel="0" collapsed="false">
      <c r="A46" s="12" t="n">
        <v>40</v>
      </c>
      <c r="B46" s="22" t="str">
        <f aca="false">IFERROR(INDEX(Roster!$D$5:$D$56,MATCH($A46,Roster!$A$5:$A$56,0)),"(not on roster)")</f>
        <v>Daniela Osorio</v>
      </c>
      <c r="C46" s="13"/>
      <c r="D46" s="13"/>
      <c r="E46" s="13"/>
      <c r="F46" s="13"/>
      <c r="G46" s="13"/>
      <c r="H46" s="12" t="str">
        <f aca="false">IF(COUNT(C46:G46)=0,"",SUM(C46:G46))</f>
        <v/>
      </c>
      <c r="I46" s="13"/>
      <c r="J46" s="13"/>
      <c r="K46" s="13"/>
      <c r="L46" s="12" t="str">
        <f aca="false">IF(COUNT(I46:K46)=0,"",SUM(I46:K46))</f>
        <v/>
      </c>
      <c r="M46" s="16" t="str">
        <f aca="false">IF(COUNT(C46:G46,I46:K46)=COUNT($C$5:$G$5,$I$5:$K$5),SUM(C46:G46,I46:K46),"")</f>
        <v/>
      </c>
      <c r="N46" s="15" t="str">
        <f aca="false">IF(ISNUMBER(M46),M46/$M$5,"")</f>
        <v/>
      </c>
      <c r="O46" s="12" t="str">
        <f aca="false">IF(ISNUMBER(M46),IF(M46&gt;=$T$3,"Strong",IF(M46&gt;=$T$4,"Satisfactory","Needs support")),"")</f>
        <v/>
      </c>
      <c r="P46" s="12" t="str">
        <f aca="false">IF(ISNUMBER(M46),RANK(M46,$M$7:$M$58,0),"")</f>
        <v/>
      </c>
      <c r="Q46" s="12" t="str">
        <f aca="false">IF(COUNT(C46:G46,I46:K46)=0,"Missing",IF(COUNT(C46:G46,I46:K46)&lt;COUNT($C$5:$G$5,$I$5:$K$5),"Incomplete","Graded"))</f>
        <v>Missing</v>
      </c>
    </row>
    <row r="47" customFormat="false" ht="14.25" hidden="false" customHeight="false" outlineLevel="0" collapsed="false">
      <c r="A47" s="12" t="n">
        <v>41</v>
      </c>
      <c r="B47" s="22" t="str">
        <f aca="false">IFERROR(INDEX(Roster!$D$5:$D$56,MATCH($A47,Roster!$A$5:$A$56,0)),"(not on roster)")</f>
        <v>Yasmine Padilla</v>
      </c>
      <c r="C47" s="13"/>
      <c r="D47" s="13"/>
      <c r="E47" s="13"/>
      <c r="F47" s="13"/>
      <c r="G47" s="13"/>
      <c r="H47" s="12" t="str">
        <f aca="false">IF(COUNT(C47:G47)=0,"",SUM(C47:G47))</f>
        <v/>
      </c>
      <c r="I47" s="13"/>
      <c r="J47" s="13"/>
      <c r="K47" s="13"/>
      <c r="L47" s="12" t="str">
        <f aca="false">IF(COUNT(I47:K47)=0,"",SUM(I47:K47))</f>
        <v/>
      </c>
      <c r="M47" s="16" t="str">
        <f aca="false">IF(COUNT(C47:G47,I47:K47)=COUNT($C$5:$G$5,$I$5:$K$5),SUM(C47:G47,I47:K47),"")</f>
        <v/>
      </c>
      <c r="N47" s="15" t="str">
        <f aca="false">IF(ISNUMBER(M47),M47/$M$5,"")</f>
        <v/>
      </c>
      <c r="O47" s="12" t="str">
        <f aca="false">IF(ISNUMBER(M47),IF(M47&gt;=$T$3,"Strong",IF(M47&gt;=$T$4,"Satisfactory","Needs support")),"")</f>
        <v/>
      </c>
      <c r="P47" s="12" t="str">
        <f aca="false">IF(ISNUMBER(M47),RANK(M47,$M$7:$M$58,0),"")</f>
        <v/>
      </c>
      <c r="Q47" s="12" t="str">
        <f aca="false">IF(COUNT(C47:G47,I47:K47)=0,"Missing",IF(COUNT(C47:G47,I47:K47)&lt;COUNT($C$5:$G$5,$I$5:$K$5),"Incomplete","Graded"))</f>
        <v>Missing</v>
      </c>
    </row>
    <row r="48" customFormat="false" ht="14.25" hidden="false" customHeight="false" outlineLevel="0" collapsed="false">
      <c r="A48" s="12" t="n">
        <v>42</v>
      </c>
      <c r="B48" s="22" t="str">
        <f aca="false">IFERROR(INDEX(Roster!$D$5:$D$56,MATCH($A48,Roster!$A$5:$A$56,0)),"(not on roster)")</f>
        <v>Macie Perrio</v>
      </c>
      <c r="C48" s="13"/>
      <c r="D48" s="13"/>
      <c r="E48" s="13"/>
      <c r="F48" s="13"/>
      <c r="G48" s="13"/>
      <c r="H48" s="12" t="str">
        <f aca="false">IF(COUNT(C48:G48)=0,"",SUM(C48:G48))</f>
        <v/>
      </c>
      <c r="I48" s="13"/>
      <c r="J48" s="13"/>
      <c r="K48" s="13"/>
      <c r="L48" s="12" t="str">
        <f aca="false">IF(COUNT(I48:K48)=0,"",SUM(I48:K48))</f>
        <v/>
      </c>
      <c r="M48" s="16" t="str">
        <f aca="false">IF(COUNT(C48:G48,I48:K48)=COUNT($C$5:$G$5,$I$5:$K$5),SUM(C48:G48,I48:K48),"")</f>
        <v/>
      </c>
      <c r="N48" s="15" t="str">
        <f aca="false">IF(ISNUMBER(M48),M48/$M$5,"")</f>
        <v/>
      </c>
      <c r="O48" s="12" t="str">
        <f aca="false">IF(ISNUMBER(M48),IF(M48&gt;=$T$3,"Strong",IF(M48&gt;=$T$4,"Satisfactory","Needs support")),"")</f>
        <v/>
      </c>
      <c r="P48" s="12" t="str">
        <f aca="false">IF(ISNUMBER(M48),RANK(M48,$M$7:$M$58,0),"")</f>
        <v/>
      </c>
      <c r="Q48" s="12" t="str">
        <f aca="false">IF(COUNT(C48:G48,I48:K48)=0,"Missing",IF(COUNT(C48:G48,I48:K48)&lt;COUNT($C$5:$G$5,$I$5:$K$5),"Incomplete","Graded"))</f>
        <v>Missing</v>
      </c>
    </row>
    <row r="49" customFormat="false" ht="14.25" hidden="false" customHeight="false" outlineLevel="0" collapsed="false">
      <c r="A49" s="12" t="n">
        <v>43</v>
      </c>
      <c r="B49" s="22" t="str">
        <f aca="false">IFERROR(INDEX(Roster!$D$5:$D$56,MATCH($A49,Roster!$A$5:$A$56,0)),"(not on roster)")</f>
        <v>Emmalie Potter</v>
      </c>
      <c r="C49" s="13"/>
      <c r="D49" s="13"/>
      <c r="E49" s="13"/>
      <c r="F49" s="13"/>
      <c r="G49" s="13"/>
      <c r="H49" s="12" t="str">
        <f aca="false">IF(COUNT(C49:G49)=0,"",SUM(C49:G49))</f>
        <v/>
      </c>
      <c r="I49" s="13"/>
      <c r="J49" s="13"/>
      <c r="K49" s="13"/>
      <c r="L49" s="12" t="str">
        <f aca="false">IF(COUNT(I49:K49)=0,"",SUM(I49:K49))</f>
        <v/>
      </c>
      <c r="M49" s="16" t="str">
        <f aca="false">IF(COUNT(C49:G49,I49:K49)=COUNT($C$5:$G$5,$I$5:$K$5),SUM(C49:G49,I49:K49),"")</f>
        <v/>
      </c>
      <c r="N49" s="15" t="str">
        <f aca="false">IF(ISNUMBER(M49),M49/$M$5,"")</f>
        <v/>
      </c>
      <c r="O49" s="12" t="str">
        <f aca="false">IF(ISNUMBER(M49),IF(M49&gt;=$T$3,"Strong",IF(M49&gt;=$T$4,"Satisfactory","Needs support")),"")</f>
        <v/>
      </c>
      <c r="P49" s="12" t="str">
        <f aca="false">IF(ISNUMBER(M49),RANK(M49,$M$7:$M$58,0),"")</f>
        <v/>
      </c>
      <c r="Q49" s="12" t="str">
        <f aca="false">IF(COUNT(C49:G49,I49:K49)=0,"Missing",IF(COUNT(C49:G49,I49:K49)&lt;COUNT($C$5:$G$5,$I$5:$K$5),"Incomplete","Graded"))</f>
        <v>Missing</v>
      </c>
    </row>
    <row r="50" customFormat="false" ht="14.25" hidden="false" customHeight="false" outlineLevel="0" collapsed="false">
      <c r="A50" s="12" t="n">
        <v>44</v>
      </c>
      <c r="B50" s="22" t="str">
        <f aca="false">IFERROR(INDEX(Roster!$D$5:$D$56,MATCH($A50,Roster!$A$5:$A$56,0)),"(not on roster)")</f>
        <v>Luke Presa</v>
      </c>
      <c r="C50" s="13"/>
      <c r="D50" s="13"/>
      <c r="E50" s="13"/>
      <c r="F50" s="13"/>
      <c r="G50" s="13"/>
      <c r="H50" s="12" t="str">
        <f aca="false">IF(COUNT(C50:G50)=0,"",SUM(C50:G50))</f>
        <v/>
      </c>
      <c r="I50" s="13"/>
      <c r="J50" s="13"/>
      <c r="K50" s="13"/>
      <c r="L50" s="12" t="str">
        <f aca="false">IF(COUNT(I50:K50)=0,"",SUM(I50:K50))</f>
        <v/>
      </c>
      <c r="M50" s="16" t="str">
        <f aca="false">IF(COUNT(C50:G50,I50:K50)=COUNT($C$5:$G$5,$I$5:$K$5),SUM(C50:G50,I50:K50),"")</f>
        <v/>
      </c>
      <c r="N50" s="15" t="str">
        <f aca="false">IF(ISNUMBER(M50),M50/$M$5,"")</f>
        <v/>
      </c>
      <c r="O50" s="12" t="str">
        <f aca="false">IF(ISNUMBER(M50),IF(M50&gt;=$T$3,"Strong",IF(M50&gt;=$T$4,"Satisfactory","Needs support")),"")</f>
        <v/>
      </c>
      <c r="P50" s="12" t="str">
        <f aca="false">IF(ISNUMBER(M50),RANK(M50,$M$7:$M$58,0),"")</f>
        <v/>
      </c>
      <c r="Q50" s="12" t="str">
        <f aca="false">IF(COUNT(C50:G50,I50:K50)=0,"Missing",IF(COUNT(C50:G50,I50:K50)&lt;COUNT($C$5:$G$5,$I$5:$K$5),"Incomplete","Graded"))</f>
        <v>Missing</v>
      </c>
    </row>
    <row r="51" customFormat="false" ht="14.25" hidden="false" customHeight="false" outlineLevel="0" collapsed="false">
      <c r="A51" s="12" t="n">
        <v>45</v>
      </c>
      <c r="B51" s="22" t="str">
        <f aca="false">IFERROR(INDEX(Roster!$D$5:$D$56,MATCH($A51,Roster!$A$5:$A$56,0)),"(not on roster)")</f>
        <v>Benny Reyes</v>
      </c>
      <c r="C51" s="13"/>
      <c r="D51" s="13"/>
      <c r="E51" s="13"/>
      <c r="F51" s="13"/>
      <c r="G51" s="13"/>
      <c r="H51" s="12" t="str">
        <f aca="false">IF(COUNT(C51:G51)=0,"",SUM(C51:G51))</f>
        <v/>
      </c>
      <c r="I51" s="13"/>
      <c r="J51" s="13"/>
      <c r="K51" s="13"/>
      <c r="L51" s="12" t="str">
        <f aca="false">IF(COUNT(I51:K51)=0,"",SUM(I51:K51))</f>
        <v/>
      </c>
      <c r="M51" s="16" t="str">
        <f aca="false">IF(COUNT(C51:G51,I51:K51)=COUNT($C$5:$G$5,$I$5:$K$5),SUM(C51:G51,I51:K51),"")</f>
        <v/>
      </c>
      <c r="N51" s="15" t="str">
        <f aca="false">IF(ISNUMBER(M51),M51/$M$5,"")</f>
        <v/>
      </c>
      <c r="O51" s="12" t="str">
        <f aca="false">IF(ISNUMBER(M51),IF(M51&gt;=$T$3,"Strong",IF(M51&gt;=$T$4,"Satisfactory","Needs support")),"")</f>
        <v/>
      </c>
      <c r="P51" s="12" t="str">
        <f aca="false">IF(ISNUMBER(M51),RANK(M51,$M$7:$M$58,0),"")</f>
        <v/>
      </c>
      <c r="Q51" s="12" t="str">
        <f aca="false">IF(COUNT(C51:G51,I51:K51)=0,"Missing",IF(COUNT(C51:G51,I51:K51)&lt;COUNT($C$5:$G$5,$I$5:$K$5),"Incomplete","Graded"))</f>
        <v>Missing</v>
      </c>
    </row>
    <row r="52" customFormat="false" ht="14.25" hidden="false" customHeight="false" outlineLevel="0" collapsed="false">
      <c r="A52" s="12" t="n">
        <v>46</v>
      </c>
      <c r="B52" s="22" t="str">
        <f aca="false">IFERROR(INDEX(Roster!$D$5:$D$56,MATCH($A52,Roster!$A$5:$A$56,0)),"(not on roster)")</f>
        <v>Noah Rodriguez</v>
      </c>
      <c r="C52" s="13"/>
      <c r="D52" s="13"/>
      <c r="E52" s="13"/>
      <c r="F52" s="13"/>
      <c r="G52" s="13"/>
      <c r="H52" s="12" t="str">
        <f aca="false">IF(COUNT(C52:G52)=0,"",SUM(C52:G52))</f>
        <v/>
      </c>
      <c r="I52" s="13"/>
      <c r="J52" s="13"/>
      <c r="K52" s="13"/>
      <c r="L52" s="12" t="str">
        <f aca="false">IF(COUNT(I52:K52)=0,"",SUM(I52:K52))</f>
        <v/>
      </c>
      <c r="M52" s="16" t="str">
        <f aca="false">IF(COUNT(C52:G52,I52:K52)=COUNT($C$5:$G$5,$I$5:$K$5),SUM(C52:G52,I52:K52),"")</f>
        <v/>
      </c>
      <c r="N52" s="15" t="str">
        <f aca="false">IF(ISNUMBER(M52),M52/$M$5,"")</f>
        <v/>
      </c>
      <c r="O52" s="12" t="str">
        <f aca="false">IF(ISNUMBER(M52),IF(M52&gt;=$T$3,"Strong",IF(M52&gt;=$T$4,"Satisfactory","Needs support")),"")</f>
        <v/>
      </c>
      <c r="P52" s="12" t="str">
        <f aca="false">IF(ISNUMBER(M52),RANK(M52,$M$7:$M$58,0),"")</f>
        <v/>
      </c>
      <c r="Q52" s="12" t="str">
        <f aca="false">IF(COUNT(C52:G52,I52:K52)=0,"Missing",IF(COUNT(C52:G52,I52:K52)&lt;COUNT($C$5:$G$5,$I$5:$K$5),"Incomplete","Graded"))</f>
        <v>Missing</v>
      </c>
    </row>
    <row r="53" customFormat="false" ht="14.25" hidden="false" customHeight="false" outlineLevel="0" collapsed="false">
      <c r="A53" s="12" t="n">
        <v>47</v>
      </c>
      <c r="B53" s="22" t="str">
        <f aca="false">IFERROR(INDEX(Roster!$D$5:$D$56,MATCH($A53,Roster!$A$5:$A$56,0)),"(not on roster)")</f>
        <v>Roman Romashkin</v>
      </c>
      <c r="C53" s="13"/>
      <c r="D53" s="13"/>
      <c r="E53" s="13"/>
      <c r="F53" s="13"/>
      <c r="G53" s="13"/>
      <c r="H53" s="12" t="str">
        <f aca="false">IF(COUNT(C53:G53)=0,"",SUM(C53:G53))</f>
        <v/>
      </c>
      <c r="I53" s="13"/>
      <c r="J53" s="13"/>
      <c r="K53" s="13"/>
      <c r="L53" s="12" t="str">
        <f aca="false">IF(COUNT(I53:K53)=0,"",SUM(I53:K53))</f>
        <v/>
      </c>
      <c r="M53" s="16" t="str">
        <f aca="false">IF(COUNT(C53:G53,I53:K53)=COUNT($C$5:$G$5,$I$5:$K$5),SUM(C53:G53,I53:K53),"")</f>
        <v/>
      </c>
      <c r="N53" s="15" t="str">
        <f aca="false">IF(ISNUMBER(M53),M53/$M$5,"")</f>
        <v/>
      </c>
      <c r="O53" s="12" t="str">
        <f aca="false">IF(ISNUMBER(M53),IF(M53&gt;=$T$3,"Strong",IF(M53&gt;=$T$4,"Satisfactory","Needs support")),"")</f>
        <v/>
      </c>
      <c r="P53" s="12" t="str">
        <f aca="false">IF(ISNUMBER(M53),RANK(M53,$M$7:$M$58,0),"")</f>
        <v/>
      </c>
      <c r="Q53" s="12" t="str">
        <f aca="false">IF(COUNT(C53:G53,I53:K53)=0,"Missing",IF(COUNT(C53:G53,I53:K53)&lt;COUNT($C$5:$G$5,$I$5:$K$5),"Incomplete","Graded"))</f>
        <v>Missing</v>
      </c>
    </row>
    <row r="54" customFormat="false" ht="14.25" hidden="false" customHeight="false" outlineLevel="0" collapsed="false">
      <c r="A54" s="12" t="n">
        <v>48</v>
      </c>
      <c r="B54" s="22" t="str">
        <f aca="false">IFERROR(INDEX(Roster!$D$5:$D$56,MATCH($A54,Roster!$A$5:$A$56,0)),"(not on roster)")</f>
        <v>Kayra Rushing</v>
      </c>
      <c r="C54" s="13"/>
      <c r="D54" s="13"/>
      <c r="E54" s="13"/>
      <c r="F54" s="13"/>
      <c r="G54" s="13"/>
      <c r="H54" s="12" t="str">
        <f aca="false">IF(COUNT(C54:G54)=0,"",SUM(C54:G54))</f>
        <v/>
      </c>
      <c r="I54" s="13"/>
      <c r="J54" s="13"/>
      <c r="K54" s="13"/>
      <c r="L54" s="12" t="str">
        <f aca="false">IF(COUNT(I54:K54)=0,"",SUM(I54:K54))</f>
        <v/>
      </c>
      <c r="M54" s="16" t="str">
        <f aca="false">IF(COUNT(C54:G54,I54:K54)=COUNT($C$5:$G$5,$I$5:$K$5),SUM(C54:G54,I54:K54),"")</f>
        <v/>
      </c>
      <c r="N54" s="15" t="str">
        <f aca="false">IF(ISNUMBER(M54),M54/$M$5,"")</f>
        <v/>
      </c>
      <c r="O54" s="12" t="str">
        <f aca="false">IF(ISNUMBER(M54),IF(M54&gt;=$T$3,"Strong",IF(M54&gt;=$T$4,"Satisfactory","Needs support")),"")</f>
        <v/>
      </c>
      <c r="P54" s="12" t="str">
        <f aca="false">IF(ISNUMBER(M54),RANK(M54,$M$7:$M$58,0),"")</f>
        <v/>
      </c>
      <c r="Q54" s="12" t="str">
        <f aca="false">IF(COUNT(C54:G54,I54:K54)=0,"Missing",IF(COUNT(C54:G54,I54:K54)&lt;COUNT($C$5:$G$5,$I$5:$K$5),"Incomplete","Graded"))</f>
        <v>Missing</v>
      </c>
    </row>
    <row r="55" customFormat="false" ht="14.25" hidden="false" customHeight="false" outlineLevel="0" collapsed="false">
      <c r="A55" s="12" t="n">
        <v>49</v>
      </c>
      <c r="B55" s="22" t="str">
        <f aca="false">IFERROR(INDEX(Roster!$D$5:$D$56,MATCH($A55,Roster!$A$5:$A$56,0)),"(not on roster)")</f>
        <v>Brooke Salada</v>
      </c>
      <c r="C55" s="13"/>
      <c r="D55" s="13"/>
      <c r="E55" s="13"/>
      <c r="F55" s="13"/>
      <c r="G55" s="13"/>
      <c r="H55" s="12" t="str">
        <f aca="false">IF(COUNT(C55:G55)=0,"",SUM(C55:G55))</f>
        <v/>
      </c>
      <c r="I55" s="13"/>
      <c r="J55" s="13"/>
      <c r="K55" s="13"/>
      <c r="L55" s="12" t="str">
        <f aca="false">IF(COUNT(I55:K55)=0,"",SUM(I55:K55))</f>
        <v/>
      </c>
      <c r="M55" s="16" t="str">
        <f aca="false">IF(COUNT(C55:G55,I55:K55)=COUNT($C$5:$G$5,$I$5:$K$5),SUM(C55:G55,I55:K55),"")</f>
        <v/>
      </c>
      <c r="N55" s="15" t="str">
        <f aca="false">IF(ISNUMBER(M55),M55/$M$5,"")</f>
        <v/>
      </c>
      <c r="O55" s="12" t="str">
        <f aca="false">IF(ISNUMBER(M55),IF(M55&gt;=$T$3,"Strong",IF(M55&gt;=$T$4,"Satisfactory","Needs support")),"")</f>
        <v/>
      </c>
      <c r="P55" s="12" t="str">
        <f aca="false">IF(ISNUMBER(M55),RANK(M55,$M$7:$M$58,0),"")</f>
        <v/>
      </c>
      <c r="Q55" s="12" t="str">
        <f aca="false">IF(COUNT(C55:G55,I55:K55)=0,"Missing",IF(COUNT(C55:G55,I55:K55)&lt;COUNT($C$5:$G$5,$I$5:$K$5),"Incomplete","Graded"))</f>
        <v>Missing</v>
      </c>
    </row>
    <row r="56" customFormat="false" ht="14.25" hidden="false" customHeight="false" outlineLevel="0" collapsed="false">
      <c r="A56" s="12" t="n">
        <v>50</v>
      </c>
      <c r="B56" s="22" t="str">
        <f aca="false">IFERROR(INDEX(Roster!$D$5:$D$56,MATCH($A56,Roster!$A$5:$A$56,0)),"(not on roster)")</f>
        <v>Haylee Senior</v>
      </c>
      <c r="C56" s="13"/>
      <c r="D56" s="13"/>
      <c r="E56" s="13"/>
      <c r="F56" s="13"/>
      <c r="G56" s="13"/>
      <c r="H56" s="12" t="str">
        <f aca="false">IF(COUNT(C56:G56)=0,"",SUM(C56:G56))</f>
        <v/>
      </c>
      <c r="I56" s="13"/>
      <c r="J56" s="13"/>
      <c r="K56" s="13"/>
      <c r="L56" s="12" t="str">
        <f aca="false">IF(COUNT(I56:K56)=0,"",SUM(I56:K56))</f>
        <v/>
      </c>
      <c r="M56" s="16" t="str">
        <f aca="false">IF(COUNT(C56:G56,I56:K56)=COUNT($C$5:$G$5,$I$5:$K$5),SUM(C56:G56,I56:K56),"")</f>
        <v/>
      </c>
      <c r="N56" s="15" t="str">
        <f aca="false">IF(ISNUMBER(M56),M56/$M$5,"")</f>
        <v/>
      </c>
      <c r="O56" s="12" t="str">
        <f aca="false">IF(ISNUMBER(M56),IF(M56&gt;=$T$3,"Strong",IF(M56&gt;=$T$4,"Satisfactory","Needs support")),"")</f>
        <v/>
      </c>
      <c r="P56" s="12" t="str">
        <f aca="false">IF(ISNUMBER(M56),RANK(M56,$M$7:$M$58,0),"")</f>
        <v/>
      </c>
      <c r="Q56" s="12" t="str">
        <f aca="false">IF(COUNT(C56:G56,I56:K56)=0,"Missing",IF(COUNT(C56:G56,I56:K56)&lt;COUNT($C$5:$G$5,$I$5:$K$5),"Incomplete","Graded"))</f>
        <v>Missing</v>
      </c>
    </row>
    <row r="57" customFormat="false" ht="14.25" hidden="false" customHeight="false" outlineLevel="0" collapsed="false">
      <c r="A57" s="12" t="n">
        <v>51</v>
      </c>
      <c r="B57" s="22" t="str">
        <f aca="false">IFERROR(INDEX(Roster!$D$5:$D$56,MATCH($A57,Roster!$A$5:$A$56,0)),"(not on roster)")</f>
        <v>Hayley Tarin</v>
      </c>
      <c r="C57" s="13"/>
      <c r="D57" s="13"/>
      <c r="E57" s="13"/>
      <c r="F57" s="13"/>
      <c r="G57" s="13"/>
      <c r="H57" s="12" t="str">
        <f aca="false">IF(COUNT(C57:G57)=0,"",SUM(C57:G57))</f>
        <v/>
      </c>
      <c r="I57" s="13"/>
      <c r="J57" s="13"/>
      <c r="K57" s="13"/>
      <c r="L57" s="12" t="str">
        <f aca="false">IF(COUNT(I57:K57)=0,"",SUM(I57:K57))</f>
        <v/>
      </c>
      <c r="M57" s="16" t="str">
        <f aca="false">IF(COUNT(C57:G57,I57:K57)=COUNT($C$5:$G$5,$I$5:$K$5),SUM(C57:G57,I57:K57),"")</f>
        <v/>
      </c>
      <c r="N57" s="15" t="str">
        <f aca="false">IF(ISNUMBER(M57),M57/$M$5,"")</f>
        <v/>
      </c>
      <c r="O57" s="12" t="str">
        <f aca="false">IF(ISNUMBER(M57),IF(M57&gt;=$T$3,"Strong",IF(M57&gt;=$T$4,"Satisfactory","Needs support")),"")</f>
        <v/>
      </c>
      <c r="P57" s="12" t="str">
        <f aca="false">IF(ISNUMBER(M57),RANK(M57,$M$7:$M$58,0),"")</f>
        <v/>
      </c>
      <c r="Q57" s="12" t="str">
        <f aca="false">IF(COUNT(C57:G57,I57:K57)=0,"Missing",IF(COUNT(C57:G57,I57:K57)&lt;COUNT($C$5:$G$5,$I$5:$K$5),"Incomplete","Graded"))</f>
        <v>Missing</v>
      </c>
    </row>
    <row r="58" customFormat="false" ht="14.25" hidden="false" customHeight="false" outlineLevel="0" collapsed="false">
      <c r="A58" s="12" t="n">
        <v>52</v>
      </c>
      <c r="B58" s="22" t="str">
        <f aca="false">IFERROR(INDEX(Roster!$D$5:$D$56,MATCH($A58,Roster!$A$5:$A$56,0)),"(not on roster)")</f>
        <v>Shaman Wildman</v>
      </c>
      <c r="C58" s="13"/>
      <c r="D58" s="13"/>
      <c r="E58" s="13"/>
      <c r="F58" s="13"/>
      <c r="G58" s="13"/>
      <c r="H58" s="12" t="str">
        <f aca="false">IF(COUNT(C58:G58)=0,"",SUM(C58:G58))</f>
        <v/>
      </c>
      <c r="I58" s="13"/>
      <c r="J58" s="13"/>
      <c r="K58" s="13"/>
      <c r="L58" s="12" t="str">
        <f aca="false">IF(COUNT(I58:K58)=0,"",SUM(I58:K58))</f>
        <v/>
      </c>
      <c r="M58" s="16" t="str">
        <f aca="false">IF(COUNT(C58:G58,I58:K58)=COUNT($C$5:$G$5,$I$5:$K$5),SUM(C58:G58,I58:K58),"")</f>
        <v/>
      </c>
      <c r="N58" s="15" t="str">
        <f aca="false">IF(ISNUMBER(M58),M58/$M$5,"")</f>
        <v/>
      </c>
      <c r="O58" s="12" t="str">
        <f aca="false">IF(ISNUMBER(M58),IF(M58&gt;=$T$3,"Strong",IF(M58&gt;=$T$4,"Satisfactory","Needs support")),"")</f>
        <v/>
      </c>
      <c r="P58" s="12" t="str">
        <f aca="false">IF(ISNUMBER(M58),RANK(M58,$M$7:$M$58,0),"")</f>
        <v/>
      </c>
      <c r="Q58" s="12" t="str">
        <f aca="false">IF(COUNT(C58:G58,I58:K58)=0,"Missing",IF(COUNT(C58:G58,I58:K58)&lt;COUNT($C$5:$G$5,$I$5:$K$5),"Incomplete","Graded"))</f>
        <v>Missing</v>
      </c>
    </row>
    <row r="60" customFormat="false" ht="14.25" hidden="false" customHeight="false" outlineLevel="0" collapsed="false">
      <c r="B60" s="47" t="s">
        <v>291</v>
      </c>
      <c r="C60" s="48" t="str">
        <f aca="false">IFERROR(AVERAGE(C7:C58),"")</f>
        <v/>
      </c>
      <c r="D60" s="48" t="str">
        <f aca="false">IFERROR(AVERAGE(D7:D58),"")</f>
        <v/>
      </c>
      <c r="E60" s="48" t="str">
        <f aca="false">IFERROR(AVERAGE(E7:E58),"")</f>
        <v/>
      </c>
      <c r="F60" s="48" t="str">
        <f aca="false">IFERROR(AVERAGE(F7:F58),"")</f>
        <v/>
      </c>
      <c r="G60" s="48" t="str">
        <f aca="false">IFERROR(AVERAGE(G7:G58),"")</f>
        <v/>
      </c>
      <c r="H60" s="48" t="str">
        <f aca="false">IFERROR(AVERAGE(H7:H58),"")</f>
        <v/>
      </c>
      <c r="I60" s="48" t="str">
        <f aca="false">IFERROR(AVERAGE(I7:I58),"")</f>
        <v/>
      </c>
      <c r="J60" s="48" t="str">
        <f aca="false">IFERROR(AVERAGE(J7:J58),"")</f>
        <v/>
      </c>
      <c r="K60" s="48" t="str">
        <f aca="false">IFERROR(AVERAGE(K7:K58),"")</f>
        <v/>
      </c>
      <c r="L60" s="48" t="str">
        <f aca="false">IFERROR(AVERAGE(L7:L58),"")</f>
        <v/>
      </c>
      <c r="M60" s="48" t="str">
        <f aca="false">IFERROR(AVERAGE(M7:M58),"")</f>
        <v/>
      </c>
      <c r="N60" s="49" t="str">
        <f aca="false">IFERROR(AVERAGE(N7:N58),"")</f>
        <v/>
      </c>
    </row>
    <row r="61" customFormat="false" ht="14.25" hidden="false" customHeight="false" outlineLevel="0" collapsed="false">
      <c r="B61" s="47" t="s">
        <v>292</v>
      </c>
      <c r="C61" s="49" t="str">
        <f aca="false">IFERROR(C60/C$5,"")</f>
        <v/>
      </c>
      <c r="D61" s="49" t="str">
        <f aca="false">IFERROR(D60/D$5,"")</f>
        <v/>
      </c>
      <c r="E61" s="49" t="str">
        <f aca="false">IFERROR(E60/E$5,"")</f>
        <v/>
      </c>
      <c r="F61" s="49" t="str">
        <f aca="false">IFERROR(F60/F$5,"")</f>
        <v/>
      </c>
      <c r="G61" s="49" t="str">
        <f aca="false">IFERROR(G60/G$5,"")</f>
        <v/>
      </c>
      <c r="H61" s="49" t="str">
        <f aca="false">IFERROR(H60/H$5,"")</f>
        <v/>
      </c>
      <c r="I61" s="49" t="str">
        <f aca="false">IFERROR(I60/I$5,"")</f>
        <v/>
      </c>
      <c r="J61" s="49" t="str">
        <f aca="false">IFERROR(J60/J$5,"")</f>
        <v/>
      </c>
      <c r="K61" s="49" t="str">
        <f aca="false">IFERROR(K60/K$5,"")</f>
        <v/>
      </c>
      <c r="L61" s="49" t="str">
        <f aca="false">IFERROR(L60/L$5,"")</f>
        <v/>
      </c>
      <c r="M61" s="49" t="str">
        <f aca="false">IFERROR(M60/M$5,"")</f>
        <v/>
      </c>
      <c r="N61" s="49"/>
    </row>
    <row r="62" customFormat="false" ht="14.25" hidden="false" customHeight="false" outlineLevel="0" collapsed="false">
      <c r="B62" s="47" t="s">
        <v>293</v>
      </c>
      <c r="C62" s="50" t="n">
        <f aca="false">IFERROR(MAX(C7:C58),"")</f>
        <v>0</v>
      </c>
      <c r="D62" s="50" t="n">
        <f aca="false">IFERROR(MAX(D7:D58),"")</f>
        <v>0</v>
      </c>
      <c r="E62" s="50" t="n">
        <f aca="false">IFERROR(MAX(E7:E58),"")</f>
        <v>0</v>
      </c>
      <c r="F62" s="50" t="n">
        <f aca="false">IFERROR(MAX(F7:F58),"")</f>
        <v>0</v>
      </c>
      <c r="G62" s="50" t="n">
        <f aca="false">IFERROR(MAX(G7:G58),"")</f>
        <v>0</v>
      </c>
      <c r="H62" s="50" t="n">
        <f aca="false">IFERROR(MAX(H7:H58),"")</f>
        <v>0</v>
      </c>
      <c r="I62" s="50" t="n">
        <f aca="false">IFERROR(MAX(I7:I58),"")</f>
        <v>0</v>
      </c>
      <c r="J62" s="50" t="n">
        <f aca="false">IFERROR(MAX(J7:J58),"")</f>
        <v>0</v>
      </c>
      <c r="K62" s="50" t="n">
        <f aca="false">IFERROR(MAX(K7:K58),"")</f>
        <v>0</v>
      </c>
      <c r="L62" s="50" t="n">
        <f aca="false">IFERROR(MAX(L7:L58),"")</f>
        <v>0</v>
      </c>
      <c r="M62" s="50" t="n">
        <f aca="false">IFERROR(MAX(M7:M58),"")</f>
        <v>0</v>
      </c>
      <c r="N62" s="49" t="n">
        <f aca="false">IFERROR(MAX(N7:N58),"")</f>
        <v>0</v>
      </c>
    </row>
    <row r="63" customFormat="false" ht="14.25" hidden="false" customHeight="false" outlineLevel="0" collapsed="false">
      <c r="B63" s="47" t="s">
        <v>294</v>
      </c>
      <c r="C63" s="50" t="n">
        <f aca="false">IFERROR(MIN(C7:C58),"")</f>
        <v>0</v>
      </c>
      <c r="D63" s="50" t="n">
        <f aca="false">IFERROR(MIN(D7:D58),"")</f>
        <v>0</v>
      </c>
      <c r="E63" s="50" t="n">
        <f aca="false">IFERROR(MIN(E7:E58),"")</f>
        <v>0</v>
      </c>
      <c r="F63" s="50" t="n">
        <f aca="false">IFERROR(MIN(F7:F58),"")</f>
        <v>0</v>
      </c>
      <c r="G63" s="50" t="n">
        <f aca="false">IFERROR(MIN(G7:G58),"")</f>
        <v>0</v>
      </c>
      <c r="H63" s="50" t="n">
        <f aca="false">IFERROR(MIN(H7:H58),"")</f>
        <v>0</v>
      </c>
      <c r="I63" s="50" t="n">
        <f aca="false">IFERROR(MIN(I7:I58),"")</f>
        <v>0</v>
      </c>
      <c r="J63" s="50" t="n">
        <f aca="false">IFERROR(MIN(J7:J58),"")</f>
        <v>0</v>
      </c>
      <c r="K63" s="50" t="n">
        <f aca="false">IFERROR(MIN(K7:K58),"")</f>
        <v>0</v>
      </c>
      <c r="L63" s="50" t="n">
        <f aca="false">IFERROR(MIN(L7:L58),"")</f>
        <v>0</v>
      </c>
      <c r="M63" s="50" t="n">
        <f aca="false">IFERROR(MIN(M7:M58),"")</f>
        <v>0</v>
      </c>
      <c r="N63" s="49" t="n">
        <f aca="false">IFERROR(MIN(N7:N58),"")</f>
        <v>0</v>
      </c>
    </row>
    <row r="64" customFormat="false" ht="14.25" hidden="false" customHeight="false" outlineLevel="0" collapsed="false">
      <c r="B64" s="47" t="s">
        <v>295</v>
      </c>
      <c r="C64" s="50" t="n">
        <f aca="false">IFERROR(COUNT(C7:C58),"")</f>
        <v>0</v>
      </c>
      <c r="D64" s="50" t="n">
        <f aca="false">IFERROR(COUNT(D7:D58),"")</f>
        <v>0</v>
      </c>
      <c r="E64" s="50" t="n">
        <f aca="false">IFERROR(COUNT(E7:E58),"")</f>
        <v>0</v>
      </c>
      <c r="F64" s="50" t="n">
        <f aca="false">IFERROR(COUNT(F7:F58),"")</f>
        <v>0</v>
      </c>
      <c r="G64" s="50" t="n">
        <f aca="false">IFERROR(COUNT(G7:G58),"")</f>
        <v>0</v>
      </c>
      <c r="H64" s="50" t="n">
        <f aca="false">IFERROR(COUNT(H7:H58),"")</f>
        <v>0</v>
      </c>
      <c r="I64" s="50" t="n">
        <f aca="false">IFERROR(COUNT(I7:I58),"")</f>
        <v>0</v>
      </c>
      <c r="J64" s="50" t="n">
        <f aca="false">IFERROR(COUNT(J7:J58),"")</f>
        <v>0</v>
      </c>
      <c r="K64" s="50" t="n">
        <f aca="false">IFERROR(COUNT(K7:K58),"")</f>
        <v>0</v>
      </c>
      <c r="L64" s="50" t="n">
        <f aca="false">IFERROR(COUNT(L7:L58),"")</f>
        <v>0</v>
      </c>
      <c r="M64" s="50" t="n">
        <f aca="false">IFERROR(COUNT(M7:M58),"")</f>
        <v>0</v>
      </c>
      <c r="N64" s="50"/>
    </row>
    <row r="65" customFormat="false" ht="14.25" hidden="false" customHeight="false" outlineLevel="0" collapsed="false">
      <c r="B65" s="51" t="s">
        <v>296</v>
      </c>
    </row>
  </sheetData>
  <autoFilter ref="A6:Q58"/>
  <mergeCells count="7">
    <mergeCell ref="A1:Q1"/>
    <mergeCell ref="A2:Q2"/>
    <mergeCell ref="S2:T2"/>
    <mergeCell ref="A4:B4"/>
    <mergeCell ref="C4:H4"/>
    <mergeCell ref="I4:L4"/>
    <mergeCell ref="M4:Q4"/>
  </mergeCells>
  <conditionalFormatting sqref="A7:Q58">
    <cfRule type="expression" priority="2" aboveAverage="0" equalAverage="0" bottom="0" percent="0" rank="0" text="" dxfId="16" stopIfTrue="1">
      <formula>$Q7="Missing"</formula>
    </cfRule>
    <cfRule type="expression" priority="14" aboveAverage="0" equalAverage="0" bottom="0" percent="0" rank="0" text="" dxfId="8">
      <formula>MOD(ROW(),2)=0</formula>
    </cfRule>
  </conditionalFormatting>
  <conditionalFormatting sqref="M7:M58">
    <cfRule type="expression" priority="4" aboveAverage="0" equalAverage="0" bottom="0" percent="0" rank="0" text="" dxfId="17">
      <formula>AND(ISNUMBER($M7),$M7&gt;=$T$3)</formula>
    </cfRule>
    <cfRule type="expression" priority="5" aboveAverage="0" equalAverage="0" bottom="0" percent="0" rank="0" text="" dxfId="18">
      <formula>AND(ISNUMBER($M7),$M7&gt;=$T$4,$M7&lt;$T$3)</formula>
    </cfRule>
    <cfRule type="expression" priority="6" aboveAverage="0" equalAverage="0" bottom="0" percent="0" rank="0" text="" dxfId="12">
      <formula>AND(ISNUMBER($M7),$M7&lt;$T$4)</formula>
    </cfRule>
  </conditionalFormatting>
  <conditionalFormatting sqref="O7:O58">
    <cfRule type="expression" priority="7" aboveAverage="0" equalAverage="0" bottom="0" percent="0" rank="0" text="" dxfId="17">
      <formula>AND(ISNUMBER($M7),$M7&gt;=$T$3)</formula>
    </cfRule>
    <cfRule type="expression" priority="8" aboveAverage="0" equalAverage="0" bottom="0" percent="0" rank="0" text="" dxfId="18">
      <formula>AND(ISNUMBER($M7),$M7&gt;=$T$4,$M7&lt;$T$3)</formula>
    </cfRule>
    <cfRule type="expression" priority="9" aboveAverage="0" equalAverage="0" bottom="0" percent="0" rank="0" text="" dxfId="12">
      <formula>AND(ISNUMBER($M7),$M7&lt;$T$4)</formula>
    </cfRule>
  </conditionalFormatting>
  <conditionalFormatting sqref="C7:G58">
    <cfRule type="expression" priority="10" aboveAverage="0" equalAverage="0" bottom="0" percent="0" rank="0" text="" dxfId="19">
      <formula>AND(ISNUMBER(C7),C7=0)</formula>
    </cfRule>
  </conditionalFormatting>
  <conditionalFormatting sqref="I7:K58">
    <cfRule type="expression" priority="11" aboveAverage="0" equalAverage="0" bottom="0" percent="0" rank="0" text="" dxfId="19">
      <formula>AND(ISNUMBER(I7),I7=0)</formula>
    </cfRule>
  </conditionalFormatting>
  <conditionalFormatting sqref="N7:N58">
    <cfRule type="dataBar" priority="12">
      <dataBar showValue="1" minLength="10" maxLength="90">
        <cfvo type="num" val="0"/>
        <cfvo type="num" val="1"/>
        <color rgb="FF9DC3E6"/>
      </dataBar>
      <extLst>
        <ext xmlns:x14="http://schemas.microsoft.com/office/spreadsheetml/2009/9/main" uri="{B025F937-C7B1-47D3-B67F-A62EFF666E3E}">
          <x14:id>{1714D073-D080-4ED0-91CF-F51B4F92FC2A}</x14:id>
        </ext>
      </extLst>
    </cfRule>
  </conditionalFormatting>
  <conditionalFormatting sqref="Q7:Q58">
    <cfRule type="expression" priority="13" aboveAverage="0" equalAverage="0" bottom="0" percent="0" rank="0" text="" dxfId="20">
      <formula>$Q7="Incomplete"</formula>
    </cfRule>
  </conditionalFormatting>
  <dataValidations count="8">
    <dataValidation allowBlank="true" error="Score must be between 0 and the max points in row 5." errorStyle="stop" errorTitle="Score out of range" operator="between" showDropDown="false" showErrorMessage="true" showInputMessage="false" sqref="C7:C58" type="decimal">
      <formula1>0</formula1>
      <formula2>$C$5</formula2>
    </dataValidation>
    <dataValidation allowBlank="true" error="Score must be between 0 and the max points in row 5." errorStyle="stop" errorTitle="Score out of range" operator="between" showDropDown="false" showErrorMessage="true" showInputMessage="false" sqref="D7:D58" type="decimal">
      <formula1>0</formula1>
      <formula2>$D$5</formula2>
    </dataValidation>
    <dataValidation allowBlank="true" error="Score must be between 0 and the max points in row 5." errorStyle="stop" errorTitle="Score out of range" operator="between" showDropDown="false" showErrorMessage="true" showInputMessage="false" sqref="E7:E58" type="decimal">
      <formula1>0</formula1>
      <formula2>$E$5</formula2>
    </dataValidation>
    <dataValidation allowBlank="true" error="Score must be between 0 and the max points in row 5." errorStyle="stop" errorTitle="Score out of range" operator="between" showDropDown="false" showErrorMessage="true" showInputMessage="false" sqref="F7:F58" type="decimal">
      <formula1>0</formula1>
      <formula2>$F$5</formula2>
    </dataValidation>
    <dataValidation allowBlank="true" error="Score must be between 0 and the max points in row 5." errorStyle="stop" errorTitle="Score out of range" operator="between" showDropDown="false" showErrorMessage="true" showInputMessage="false" sqref="G7:G58" type="decimal">
      <formula1>0</formula1>
      <formula2>$G$5</formula2>
    </dataValidation>
    <dataValidation allowBlank="true" error="Score must be between 0 and the max points in row 5." errorStyle="stop" errorTitle="Score out of range" operator="between" showDropDown="false" showErrorMessage="true" showInputMessage="false" sqref="I7:I58" type="decimal">
      <formula1>0</formula1>
      <formula2>$I$5</formula2>
    </dataValidation>
    <dataValidation allowBlank="true" error="Score must be between 0 and the max points in row 5." errorStyle="stop" errorTitle="Score out of range" operator="between" showDropDown="false" showErrorMessage="true" showInputMessage="false" sqref="J7:J58" type="decimal">
      <formula1>0</formula1>
      <formula2>$J$5</formula2>
    </dataValidation>
    <dataValidation allowBlank="true" error="Score must be between 0 and the max points in row 5." errorStyle="stop" errorTitle="Score out of range" operator="between" showDropDown="false" showErrorMessage="true" showInputMessage="false" sqref="K7:K58" type="decimal">
      <formula1>0</formula1>
      <formula2>$K$5</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1714D073-D080-4ED0-91CF-F51B4F92FC2A}">
            <x14:dataBar minLength="10" maxLength="90" axisPosition="none" gradient="true">
              <x14:cfvo type="num">
                <xm:f>0</xm:f>
              </x14:cfvo>
              <x14:cfvo type="num">
                <xm:f>1</xm:f>
              </x14:cfvo>
              <x14:negativeFillColor rgb="FF9DC3E6"/>
              <x14:axisColor rgb="FF000000"/>
            </x14:dataBar>
          </x14:cfRule>
          <xm:sqref>N7:N58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1D1D"/>
    <pageSetUpPr fitToPage="true"/>
  </sheetPr>
  <dimension ref="A1:Q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4.25" zeroHeight="false" outlineLevelRow="0" outlineLevelCol="0"/>
  <cols>
    <col collapsed="false" customWidth="true" hidden="false" outlineLevel="0" max="1" min="1" style="0" width="17"/>
    <col collapsed="false" customWidth="true" hidden="false" outlineLevel="0" max="2" min="2" style="0" width="8"/>
    <col collapsed="false" customWidth="true" hidden="false" outlineLevel="0" max="4" min="3" style="0" width="9"/>
    <col collapsed="false" customWidth="true" hidden="false" outlineLevel="0" max="5" min="5" style="0" width="10"/>
    <col collapsed="false" customWidth="true" hidden="false" outlineLevel="0" max="13" min="6" style="0" width="8"/>
    <col collapsed="false" customWidth="true" hidden="false" outlineLevel="0" max="14" min="14" style="0" width="16"/>
    <col collapsed="false" customWidth="true" hidden="false" outlineLevel="0" max="15" min="15" style="0" width="3"/>
    <col collapsed="false" customWidth="true" hidden="false" outlineLevel="0" max="16" min="16" style="0" width="30"/>
    <col collapsed="false" customWidth="true" hidden="false" outlineLevel="0" max="17" min="17" style="0" width="8"/>
  </cols>
  <sheetData>
    <row r="1" customFormat="false" ht="30" hidden="false" customHeight="true" outlineLevel="0" collapsed="false">
      <c r="A1" s="1" t="s">
        <v>11</v>
      </c>
      <c r="B1" s="1"/>
      <c r="C1" s="1"/>
      <c r="D1" s="1"/>
      <c r="E1" s="1"/>
      <c r="F1" s="1"/>
      <c r="G1" s="1"/>
      <c r="H1" s="1"/>
      <c r="I1" s="1"/>
      <c r="J1" s="1"/>
      <c r="K1" s="1"/>
      <c r="L1" s="1"/>
      <c r="M1" s="1"/>
      <c r="N1" s="1"/>
    </row>
    <row r="2" customFormat="false" ht="27.75" hidden="false" customHeight="true" outlineLevel="0" collapsed="false">
      <c r="A2" s="2" t="s">
        <v>297</v>
      </c>
      <c r="B2" s="2"/>
      <c r="C2" s="2"/>
      <c r="D2" s="2"/>
      <c r="E2" s="2"/>
      <c r="F2" s="2"/>
      <c r="G2" s="2"/>
      <c r="H2" s="2"/>
      <c r="I2" s="2"/>
      <c r="J2" s="2"/>
      <c r="K2" s="2"/>
      <c r="L2" s="2"/>
      <c r="M2" s="2"/>
      <c r="N2" s="2"/>
    </row>
    <row r="4" customFormat="false" ht="31.5" hidden="false" customHeight="true" outlineLevel="0" collapsed="false">
      <c r="A4" s="11" t="s">
        <v>184</v>
      </c>
      <c r="B4" s="11" t="s">
        <v>298</v>
      </c>
      <c r="C4" s="11" t="s">
        <v>299</v>
      </c>
      <c r="D4" s="11" t="s">
        <v>300</v>
      </c>
      <c r="E4" s="11" t="s">
        <v>301</v>
      </c>
      <c r="F4" s="11" t="s">
        <v>302</v>
      </c>
      <c r="G4" s="11" t="s">
        <v>303</v>
      </c>
      <c r="H4" s="11" t="s">
        <v>294</v>
      </c>
      <c r="I4" s="11" t="s">
        <v>293</v>
      </c>
      <c r="J4" s="11" t="s">
        <v>304</v>
      </c>
      <c r="K4" s="11" t="s">
        <v>305</v>
      </c>
      <c r="L4" s="11" t="s">
        <v>306</v>
      </c>
      <c r="M4" s="11" t="s">
        <v>307</v>
      </c>
      <c r="N4" s="11" t="s">
        <v>308</v>
      </c>
      <c r="P4" s="39" t="s">
        <v>309</v>
      </c>
      <c r="Q4" s="39"/>
    </row>
    <row r="5" customFormat="false" ht="14.25" hidden="false" customHeight="false" outlineLevel="0" collapsed="false">
      <c r="A5" s="22" t="str">
        <f aca="false">'Quiz 2 Grades'!C6</f>
        <v>1.1</v>
      </c>
      <c r="B5" s="17" t="n">
        <f aca="false">'Quiz 2 Grades'!C$5</f>
        <v>15</v>
      </c>
      <c r="C5" s="17" t="n">
        <f aca="false">COUNT('Quiz 2 Grades'!C$7:C$58)</f>
        <v>0</v>
      </c>
      <c r="D5" s="14" t="str">
        <f aca="false">IFERROR(AVERAGE('Quiz 2 Grades'!C$7:C$58),"")</f>
        <v/>
      </c>
      <c r="E5" s="15" t="str">
        <f aca="false">IFERROR(D5/B5,"")</f>
        <v/>
      </c>
      <c r="F5" s="14" t="str">
        <f aca="false">IFERROR(MEDIAN('Quiz 2 Grades'!C$7:C$58),"")</f>
        <v/>
      </c>
      <c r="G5" s="14" t="str">
        <f aca="false">IFERROR(STDEV('Quiz 2 Grades'!C$7:C$58),"")</f>
        <v/>
      </c>
      <c r="H5" s="17" t="n">
        <f aca="false">IFERROR(MIN('Quiz 2 Grades'!C$7:C$58),"")</f>
        <v>0</v>
      </c>
      <c r="I5" s="17" t="n">
        <f aca="false">IFERROR(MAX('Quiz 2 Grades'!C$7:C$58),"")</f>
        <v>0</v>
      </c>
      <c r="J5" s="17" t="n">
        <f aca="false">COUNTIF('Quiz 2 Grades'!C$7:C$58,B5)</f>
        <v>0</v>
      </c>
      <c r="K5" s="15" t="str">
        <f aca="false">IFERROR(J5/C5,"")</f>
        <v/>
      </c>
      <c r="L5" s="17" t="n">
        <f aca="false">COUNTIF('Quiz 2 Grades'!C$7:C$58,0)</f>
        <v>0</v>
      </c>
      <c r="M5" s="15" t="str">
        <f aca="false">IFERROR(L5/C5,"")</f>
        <v/>
      </c>
      <c r="N5" s="12" t="str">
        <f aca="false">IF(ISNUMBER(E5),IF(OR(E5&lt;$Q$6,AND(ISNUMBER(M5),M5&gt;=$Q$7)),"Review in class",IF(E5&lt;$Q$5,"Monitor","OK")),"")</f>
        <v/>
      </c>
      <c r="P5" s="7" t="s">
        <v>310</v>
      </c>
      <c r="Q5" s="52" t="n">
        <v>0.75</v>
      </c>
    </row>
    <row r="6" customFormat="false" ht="14.25" hidden="false" customHeight="false" outlineLevel="0" collapsed="false">
      <c r="A6" s="22" t="str">
        <f aca="false">'Quiz 2 Grades'!D6</f>
        <v>1.2 a</v>
      </c>
      <c r="B6" s="17" t="n">
        <f aca="false">'Quiz 2 Grades'!D$5</f>
        <v>6</v>
      </c>
      <c r="C6" s="17" t="n">
        <f aca="false">COUNT('Quiz 2 Grades'!D$7:D$58)</f>
        <v>0</v>
      </c>
      <c r="D6" s="14" t="str">
        <f aca="false">IFERROR(AVERAGE('Quiz 2 Grades'!D$7:D$58),"")</f>
        <v/>
      </c>
      <c r="E6" s="15" t="str">
        <f aca="false">IFERROR(D6/B6,"")</f>
        <v/>
      </c>
      <c r="F6" s="14" t="str">
        <f aca="false">IFERROR(MEDIAN('Quiz 2 Grades'!D$7:D$58),"")</f>
        <v/>
      </c>
      <c r="G6" s="14" t="str">
        <f aca="false">IFERROR(STDEV('Quiz 2 Grades'!D$7:D$58),"")</f>
        <v/>
      </c>
      <c r="H6" s="17" t="n">
        <f aca="false">IFERROR(MIN('Quiz 2 Grades'!D$7:D$58),"")</f>
        <v>0</v>
      </c>
      <c r="I6" s="17" t="n">
        <f aca="false">IFERROR(MAX('Quiz 2 Grades'!D$7:D$58),"")</f>
        <v>0</v>
      </c>
      <c r="J6" s="17" t="n">
        <f aca="false">COUNTIF('Quiz 2 Grades'!D$7:D$58,B6)</f>
        <v>0</v>
      </c>
      <c r="K6" s="15" t="str">
        <f aca="false">IFERROR(J6/C6,"")</f>
        <v/>
      </c>
      <c r="L6" s="17" t="n">
        <f aca="false">COUNTIF('Quiz 2 Grades'!D$7:D$58,0)</f>
        <v>0</v>
      </c>
      <c r="M6" s="15" t="str">
        <f aca="false">IFERROR(L6/C6,"")</f>
        <v/>
      </c>
      <c r="N6" s="12" t="str">
        <f aca="false">IF(ISNUMBER(E6),IF(OR(E6&lt;$Q$6,AND(ISNUMBER(M6),M6&gt;=$Q$7)),"Review in class",IF(E6&lt;$Q$5,"Monitor","OK")),"")</f>
        <v/>
      </c>
      <c r="P6" s="7" t="s">
        <v>311</v>
      </c>
      <c r="Q6" s="52" t="n">
        <v>0.6</v>
      </c>
    </row>
    <row r="7" customFormat="false" ht="14.25" hidden="false" customHeight="false" outlineLevel="0" collapsed="false">
      <c r="A7" s="22" t="str">
        <f aca="false">'Quiz 2 Grades'!E6</f>
        <v>1.2 b</v>
      </c>
      <c r="B7" s="17" t="n">
        <f aca="false">'Quiz 2 Grades'!E$5</f>
        <v>1</v>
      </c>
      <c r="C7" s="17" t="n">
        <f aca="false">COUNT('Quiz 2 Grades'!E$7:E$58)</f>
        <v>0</v>
      </c>
      <c r="D7" s="14" t="str">
        <f aca="false">IFERROR(AVERAGE('Quiz 2 Grades'!E$7:E$58),"")</f>
        <v/>
      </c>
      <c r="E7" s="15" t="str">
        <f aca="false">IFERROR(D7/B7,"")</f>
        <v/>
      </c>
      <c r="F7" s="14" t="str">
        <f aca="false">IFERROR(MEDIAN('Quiz 2 Grades'!E$7:E$58),"")</f>
        <v/>
      </c>
      <c r="G7" s="14" t="str">
        <f aca="false">IFERROR(STDEV('Quiz 2 Grades'!E$7:E$58),"")</f>
        <v/>
      </c>
      <c r="H7" s="17" t="n">
        <f aca="false">IFERROR(MIN('Quiz 2 Grades'!E$7:E$58),"")</f>
        <v>0</v>
      </c>
      <c r="I7" s="17" t="n">
        <f aca="false">IFERROR(MAX('Quiz 2 Grades'!E$7:E$58),"")</f>
        <v>0</v>
      </c>
      <c r="J7" s="17" t="n">
        <f aca="false">COUNTIF('Quiz 2 Grades'!E$7:E$58,B7)</f>
        <v>0</v>
      </c>
      <c r="K7" s="15" t="str">
        <f aca="false">IFERROR(J7/C7,"")</f>
        <v/>
      </c>
      <c r="L7" s="17" t="n">
        <f aca="false">COUNTIF('Quiz 2 Grades'!E$7:E$58,0)</f>
        <v>0</v>
      </c>
      <c r="M7" s="15" t="str">
        <f aca="false">IFERROR(L7/C7,"")</f>
        <v/>
      </c>
      <c r="N7" s="12" t="str">
        <f aca="false">IF(ISNUMBER(E7),IF(OR(E7&lt;$Q$6,AND(ISNUMBER(M7),M7&gt;=$Q$7)),"Review in class",IF(E7&lt;$Q$5,"Monitor","OK")),"")</f>
        <v/>
      </c>
      <c r="P7" s="7" t="s">
        <v>312</v>
      </c>
      <c r="Q7" s="52" t="n">
        <v>0.25</v>
      </c>
    </row>
    <row r="8" customFormat="false" ht="14.25" hidden="false" customHeight="false" outlineLevel="0" collapsed="false">
      <c r="A8" s="22" t="str">
        <f aca="false">'Quiz 2 Grades'!F6</f>
        <v>1.2 c</v>
      </c>
      <c r="B8" s="17" t="n">
        <f aca="false">'Quiz 2 Grades'!F$5</f>
        <v>3</v>
      </c>
      <c r="C8" s="17" t="n">
        <f aca="false">COUNT('Quiz 2 Grades'!F$7:F$58)</f>
        <v>0</v>
      </c>
      <c r="D8" s="14" t="str">
        <f aca="false">IFERROR(AVERAGE('Quiz 2 Grades'!F$7:F$58),"")</f>
        <v/>
      </c>
      <c r="E8" s="15" t="str">
        <f aca="false">IFERROR(D8/B8,"")</f>
        <v/>
      </c>
      <c r="F8" s="14" t="str">
        <f aca="false">IFERROR(MEDIAN('Quiz 2 Grades'!F$7:F$58),"")</f>
        <v/>
      </c>
      <c r="G8" s="14" t="str">
        <f aca="false">IFERROR(STDEV('Quiz 2 Grades'!F$7:F$58),"")</f>
        <v/>
      </c>
      <c r="H8" s="17" t="n">
        <f aca="false">IFERROR(MIN('Quiz 2 Grades'!F$7:F$58),"")</f>
        <v>0</v>
      </c>
      <c r="I8" s="17" t="n">
        <f aca="false">IFERROR(MAX('Quiz 2 Grades'!F$7:F$58),"")</f>
        <v>0</v>
      </c>
      <c r="J8" s="17" t="n">
        <f aca="false">COUNTIF('Quiz 2 Grades'!F$7:F$58,B8)</f>
        <v>0</v>
      </c>
      <c r="K8" s="15" t="str">
        <f aca="false">IFERROR(J8/C8,"")</f>
        <v/>
      </c>
      <c r="L8" s="17" t="n">
        <f aca="false">COUNTIF('Quiz 2 Grades'!F$7:F$58,0)</f>
        <v>0</v>
      </c>
      <c r="M8" s="15" t="str">
        <f aca="false">IFERROR(L8/C8,"")</f>
        <v/>
      </c>
      <c r="N8" s="12" t="str">
        <f aca="false">IF(ISNUMBER(E8),IF(OR(E8&lt;$Q$6,AND(ISNUMBER(M8),M8&gt;=$Q$7)),"Review in class",IF(E8&lt;$Q$5,"Monitor","OK")),"")</f>
        <v/>
      </c>
      <c r="P8" s="51" t="s">
        <v>313</v>
      </c>
    </row>
    <row r="9" customFormat="false" ht="14.25" hidden="false" customHeight="false" outlineLevel="0" collapsed="false">
      <c r="A9" s="22" t="str">
        <f aca="false">'Quiz 2 Grades'!G6</f>
        <v>1.3</v>
      </c>
      <c r="B9" s="17" t="n">
        <f aca="false">'Quiz 2 Grades'!G$5</f>
        <v>10</v>
      </c>
      <c r="C9" s="17" t="n">
        <f aca="false">COUNT('Quiz 2 Grades'!G$7:G$58)</f>
        <v>0</v>
      </c>
      <c r="D9" s="14" t="str">
        <f aca="false">IFERROR(AVERAGE('Quiz 2 Grades'!G$7:G$58),"")</f>
        <v/>
      </c>
      <c r="E9" s="15" t="str">
        <f aca="false">IFERROR(D9/B9,"")</f>
        <v/>
      </c>
      <c r="F9" s="14" t="str">
        <f aca="false">IFERROR(MEDIAN('Quiz 2 Grades'!G$7:G$58),"")</f>
        <v/>
      </c>
      <c r="G9" s="14" t="str">
        <f aca="false">IFERROR(STDEV('Quiz 2 Grades'!G$7:G$58),"")</f>
        <v/>
      </c>
      <c r="H9" s="17" t="n">
        <f aca="false">IFERROR(MIN('Quiz 2 Grades'!G$7:G$58),"")</f>
        <v>0</v>
      </c>
      <c r="I9" s="17" t="n">
        <f aca="false">IFERROR(MAX('Quiz 2 Grades'!G$7:G$58),"")</f>
        <v>0</v>
      </c>
      <c r="J9" s="17" t="n">
        <f aca="false">COUNTIF('Quiz 2 Grades'!G$7:G$58,B9)</f>
        <v>0</v>
      </c>
      <c r="K9" s="15" t="str">
        <f aca="false">IFERROR(J9/C9,"")</f>
        <v/>
      </c>
      <c r="L9" s="17" t="n">
        <f aca="false">COUNTIF('Quiz 2 Grades'!G$7:G$58,0)</f>
        <v>0</v>
      </c>
      <c r="M9" s="15" t="str">
        <f aca="false">IFERROR(L9/C9,"")</f>
        <v/>
      </c>
      <c r="N9" s="12" t="str">
        <f aca="false">IF(ISNUMBER(E9),IF(OR(E9&lt;$Q$6,AND(ISNUMBER(M9),M9&gt;=$Q$7)),"Review in class",IF(E9&lt;$Q$5,"Monitor","OK")),"")</f>
        <v/>
      </c>
    </row>
    <row r="10" customFormat="false" ht="14.25" hidden="false" customHeight="false" outlineLevel="0" collapsed="false">
      <c r="A10" s="22" t="str">
        <f aca="false">'Quiz 2 Grades'!I6</f>
        <v>2.1</v>
      </c>
      <c r="B10" s="17" t="n">
        <f aca="false">'Quiz 2 Grades'!I$5</f>
        <v>5</v>
      </c>
      <c r="C10" s="17" t="n">
        <f aca="false">COUNT('Quiz 2 Grades'!I$7:I$58)</f>
        <v>0</v>
      </c>
      <c r="D10" s="14" t="str">
        <f aca="false">IFERROR(AVERAGE('Quiz 2 Grades'!I$7:I$58),"")</f>
        <v/>
      </c>
      <c r="E10" s="15" t="str">
        <f aca="false">IFERROR(D10/B10,"")</f>
        <v/>
      </c>
      <c r="F10" s="14" t="str">
        <f aca="false">IFERROR(MEDIAN('Quiz 2 Grades'!I$7:I$58),"")</f>
        <v/>
      </c>
      <c r="G10" s="14" t="str">
        <f aca="false">IFERROR(STDEV('Quiz 2 Grades'!I$7:I$58),"")</f>
        <v/>
      </c>
      <c r="H10" s="17" t="n">
        <f aca="false">IFERROR(MIN('Quiz 2 Grades'!I$7:I$58),"")</f>
        <v>0</v>
      </c>
      <c r="I10" s="17" t="n">
        <f aca="false">IFERROR(MAX('Quiz 2 Grades'!I$7:I$58),"")</f>
        <v>0</v>
      </c>
      <c r="J10" s="17" t="n">
        <f aca="false">COUNTIF('Quiz 2 Grades'!I$7:I$58,B10)</f>
        <v>0</v>
      </c>
      <c r="K10" s="15" t="str">
        <f aca="false">IFERROR(J10/C10,"")</f>
        <v/>
      </c>
      <c r="L10" s="17" t="n">
        <f aca="false">COUNTIF('Quiz 2 Grades'!I$7:I$58,0)</f>
        <v>0</v>
      </c>
      <c r="M10" s="15" t="str">
        <f aca="false">IFERROR(L10/C10,"")</f>
        <v/>
      </c>
      <c r="N10" s="12" t="str">
        <f aca="false">IF(ISNUMBER(E10),IF(OR(E10&lt;$Q$6,AND(ISNUMBER(M10),M10&gt;=$Q$7)),"Review in class",IF(E10&lt;$Q$5,"Monitor","OK")),"")</f>
        <v/>
      </c>
    </row>
    <row r="11" customFormat="false" ht="14.25" hidden="false" customHeight="false" outlineLevel="0" collapsed="false">
      <c r="A11" s="22" t="str">
        <f aca="false">'Quiz 2 Grades'!J6</f>
        <v>2.2</v>
      </c>
      <c r="B11" s="17" t="n">
        <f aca="false">'Quiz 2 Grades'!J$5</f>
        <v>5</v>
      </c>
      <c r="C11" s="17" t="n">
        <f aca="false">COUNT('Quiz 2 Grades'!J$7:J$58)</f>
        <v>0</v>
      </c>
      <c r="D11" s="14" t="str">
        <f aca="false">IFERROR(AVERAGE('Quiz 2 Grades'!J$7:J$58),"")</f>
        <v/>
      </c>
      <c r="E11" s="15" t="str">
        <f aca="false">IFERROR(D11/B11,"")</f>
        <v/>
      </c>
      <c r="F11" s="14" t="str">
        <f aca="false">IFERROR(MEDIAN('Quiz 2 Grades'!J$7:J$58),"")</f>
        <v/>
      </c>
      <c r="G11" s="14" t="str">
        <f aca="false">IFERROR(STDEV('Quiz 2 Grades'!J$7:J$58),"")</f>
        <v/>
      </c>
      <c r="H11" s="17" t="n">
        <f aca="false">IFERROR(MIN('Quiz 2 Grades'!J$7:J$58),"")</f>
        <v>0</v>
      </c>
      <c r="I11" s="17" t="n">
        <f aca="false">IFERROR(MAX('Quiz 2 Grades'!J$7:J$58),"")</f>
        <v>0</v>
      </c>
      <c r="J11" s="17" t="n">
        <f aca="false">COUNTIF('Quiz 2 Grades'!J$7:J$58,B11)</f>
        <v>0</v>
      </c>
      <c r="K11" s="15" t="str">
        <f aca="false">IFERROR(J11/C11,"")</f>
        <v/>
      </c>
      <c r="L11" s="17" t="n">
        <f aca="false">COUNTIF('Quiz 2 Grades'!J$7:J$58,0)</f>
        <v>0</v>
      </c>
      <c r="M11" s="15" t="str">
        <f aca="false">IFERROR(L11/C11,"")</f>
        <v/>
      </c>
      <c r="N11" s="12" t="str">
        <f aca="false">IF(ISNUMBER(E11),IF(OR(E11&lt;$Q$6,AND(ISNUMBER(M11),M11&gt;=$Q$7)),"Review in class",IF(E11&lt;$Q$5,"Monitor","OK")),"")</f>
        <v/>
      </c>
    </row>
    <row r="12" customFormat="false" ht="14.25" hidden="false" customHeight="false" outlineLevel="0" collapsed="false">
      <c r="A12" s="22" t="str">
        <f aca="false">'Quiz 2 Grades'!K6</f>
        <v>2.3</v>
      </c>
      <c r="B12" s="17" t="n">
        <f aca="false">'Quiz 2 Grades'!K$5</f>
        <v>5</v>
      </c>
      <c r="C12" s="17" t="n">
        <f aca="false">COUNT('Quiz 2 Grades'!K$7:K$58)</f>
        <v>0</v>
      </c>
      <c r="D12" s="14" t="str">
        <f aca="false">IFERROR(AVERAGE('Quiz 2 Grades'!K$7:K$58),"")</f>
        <v/>
      </c>
      <c r="E12" s="15" t="str">
        <f aca="false">IFERROR(D12/B12,"")</f>
        <v/>
      </c>
      <c r="F12" s="14" t="str">
        <f aca="false">IFERROR(MEDIAN('Quiz 2 Grades'!K$7:K$58),"")</f>
        <v/>
      </c>
      <c r="G12" s="14" t="str">
        <f aca="false">IFERROR(STDEV('Quiz 2 Grades'!K$7:K$58),"")</f>
        <v/>
      </c>
      <c r="H12" s="17" t="n">
        <f aca="false">IFERROR(MIN('Quiz 2 Grades'!K$7:K$58),"")</f>
        <v>0</v>
      </c>
      <c r="I12" s="17" t="n">
        <f aca="false">IFERROR(MAX('Quiz 2 Grades'!K$7:K$58),"")</f>
        <v>0</v>
      </c>
      <c r="J12" s="17" t="n">
        <f aca="false">COUNTIF('Quiz 2 Grades'!K$7:K$58,B12)</f>
        <v>0</v>
      </c>
      <c r="K12" s="15" t="str">
        <f aca="false">IFERROR(J12/C12,"")</f>
        <v/>
      </c>
      <c r="L12" s="17" t="n">
        <f aca="false">COUNTIF('Quiz 2 Grades'!K$7:K$58,0)</f>
        <v>0</v>
      </c>
      <c r="M12" s="15" t="str">
        <f aca="false">IFERROR(L12/C12,"")</f>
        <v/>
      </c>
      <c r="N12" s="12" t="str">
        <f aca="false">IF(ISNUMBER(E12),IF(OR(E12&lt;$Q$6,AND(ISNUMBER(M12),M12&gt;=$Q$7)),"Review in class",IF(E12&lt;$Q$5,"Monitor","OK")),"")</f>
        <v/>
      </c>
    </row>
    <row r="13" customFormat="false" ht="14.25" hidden="false" customHeight="false" outlineLevel="0" collapsed="false">
      <c r="A13" s="25" t="s">
        <v>314</v>
      </c>
      <c r="B13" s="24" t="n">
        <f aca="false">'Quiz 2 Grades'!H$5</f>
        <v>35</v>
      </c>
      <c r="C13" s="24" t="n">
        <f aca="false">COUNT('Quiz 2 Grades'!H$7:H$58)</f>
        <v>0</v>
      </c>
      <c r="D13" s="48" t="str">
        <f aca="false">IFERROR(AVERAGE('Quiz 2 Grades'!H$7:H$58),"")</f>
        <v/>
      </c>
      <c r="E13" s="49" t="str">
        <f aca="false">IFERROR(D13/B13,"")</f>
        <v/>
      </c>
      <c r="F13" s="48" t="str">
        <f aca="false">IFERROR(MEDIAN('Quiz 2 Grades'!H$7:H$58),"")</f>
        <v/>
      </c>
      <c r="G13" s="48" t="str">
        <f aca="false">IFERROR(STDEV('Quiz 2 Grades'!H$7:H$58),"")</f>
        <v/>
      </c>
      <c r="H13" s="24" t="n">
        <f aca="false">IFERROR(MIN('Quiz 2 Grades'!H$7:H$58),"")</f>
        <v>0</v>
      </c>
      <c r="I13" s="24" t="n">
        <f aca="false">IFERROR(MAX('Quiz 2 Grades'!H$7:H$58),"")</f>
        <v>0</v>
      </c>
      <c r="J13" s="24" t="n">
        <f aca="false">COUNTIF('Quiz 2 Grades'!H$7:H$58,B13)</f>
        <v>0</v>
      </c>
      <c r="K13" s="49" t="str">
        <f aca="false">IFERROR(J13/C13,"")</f>
        <v/>
      </c>
      <c r="L13" s="24" t="n">
        <f aca="false">COUNTIF('Quiz 2 Grades'!H$7:H$58,0)</f>
        <v>0</v>
      </c>
      <c r="M13" s="49" t="str">
        <f aca="false">IFERROR(L13/C13,"")</f>
        <v/>
      </c>
      <c r="N13" s="24" t="str">
        <f aca="false">IF(ISNUMBER(E13),IF(OR(E13&lt;$Q$6,AND(ISNUMBER(M13),M13&gt;=$Q$7)),"Review in class",IF(E13&lt;$Q$5,"Monitor","OK")),"")</f>
        <v/>
      </c>
    </row>
    <row r="14" customFormat="false" ht="14.25" hidden="false" customHeight="false" outlineLevel="0" collapsed="false">
      <c r="A14" s="25" t="s">
        <v>315</v>
      </c>
      <c r="B14" s="24" t="n">
        <f aca="false">'Quiz 2 Grades'!L$5</f>
        <v>15</v>
      </c>
      <c r="C14" s="24" t="n">
        <f aca="false">COUNT('Quiz 2 Grades'!L$7:L$58)</f>
        <v>0</v>
      </c>
      <c r="D14" s="48" t="str">
        <f aca="false">IFERROR(AVERAGE('Quiz 2 Grades'!L$7:L$58),"")</f>
        <v/>
      </c>
      <c r="E14" s="49" t="str">
        <f aca="false">IFERROR(D14/B14,"")</f>
        <v/>
      </c>
      <c r="F14" s="48" t="str">
        <f aca="false">IFERROR(MEDIAN('Quiz 2 Grades'!L$7:L$58),"")</f>
        <v/>
      </c>
      <c r="G14" s="48" t="str">
        <f aca="false">IFERROR(STDEV('Quiz 2 Grades'!L$7:L$58),"")</f>
        <v/>
      </c>
      <c r="H14" s="24" t="n">
        <f aca="false">IFERROR(MIN('Quiz 2 Grades'!L$7:L$58),"")</f>
        <v>0</v>
      </c>
      <c r="I14" s="24" t="n">
        <f aca="false">IFERROR(MAX('Quiz 2 Grades'!L$7:L$58),"")</f>
        <v>0</v>
      </c>
      <c r="J14" s="24" t="n">
        <f aca="false">COUNTIF('Quiz 2 Grades'!L$7:L$58,B14)</f>
        <v>0</v>
      </c>
      <c r="K14" s="49" t="str">
        <f aca="false">IFERROR(J14/C14,"")</f>
        <v/>
      </c>
      <c r="L14" s="24" t="n">
        <f aca="false">COUNTIF('Quiz 2 Grades'!L$7:L$58,0)</f>
        <v>0</v>
      </c>
      <c r="M14" s="49" t="str">
        <f aca="false">IFERROR(L14/C14,"")</f>
        <v/>
      </c>
      <c r="N14" s="24" t="str">
        <f aca="false">IF(ISNUMBER(E14),IF(OR(E14&lt;$Q$6,AND(ISNUMBER(M14),M14&gt;=$Q$7)),"Review in class",IF(E14&lt;$Q$5,"Monitor","OK")),"")</f>
        <v/>
      </c>
    </row>
    <row r="15" customFormat="false" ht="14.25" hidden="false" customHeight="false" outlineLevel="0" collapsed="false">
      <c r="A15" s="25" t="s">
        <v>316</v>
      </c>
      <c r="B15" s="24" t="n">
        <f aca="false">'Quiz 2 Grades'!M$5</f>
        <v>50</v>
      </c>
      <c r="C15" s="24" t="n">
        <f aca="false">COUNT('Quiz 2 Grades'!M$7:M$58)</f>
        <v>0</v>
      </c>
      <c r="D15" s="48" t="str">
        <f aca="false">IFERROR(AVERAGE('Quiz 2 Grades'!M$7:M$58),"")</f>
        <v/>
      </c>
      <c r="E15" s="49" t="str">
        <f aca="false">IFERROR(D15/B15,"")</f>
        <v/>
      </c>
      <c r="F15" s="48" t="str">
        <f aca="false">IFERROR(MEDIAN('Quiz 2 Grades'!M$7:M$58),"")</f>
        <v/>
      </c>
      <c r="G15" s="48" t="str">
        <f aca="false">IFERROR(STDEV('Quiz 2 Grades'!M$7:M$58),"")</f>
        <v/>
      </c>
      <c r="H15" s="24" t="n">
        <f aca="false">IFERROR(MIN('Quiz 2 Grades'!M$7:M$58),"")</f>
        <v>0</v>
      </c>
      <c r="I15" s="24" t="n">
        <f aca="false">IFERROR(MAX('Quiz 2 Grades'!M$7:M$58),"")</f>
        <v>0</v>
      </c>
      <c r="J15" s="24" t="n">
        <f aca="false">COUNTIF('Quiz 2 Grades'!M$7:M$58,B15)</f>
        <v>0</v>
      </c>
      <c r="K15" s="49" t="str">
        <f aca="false">IFERROR(J15/C15,"")</f>
        <v/>
      </c>
      <c r="L15" s="24" t="n">
        <f aca="false">COUNTIF('Quiz 2 Grades'!M$7:M$58,0)</f>
        <v>0</v>
      </c>
      <c r="M15" s="49" t="str">
        <f aca="false">IFERROR(L15/C15,"")</f>
        <v/>
      </c>
      <c r="N15" s="24" t="str">
        <f aca="false">IF(ISNUMBER(E15),IF(OR(E15&lt;$Q$6,AND(ISNUMBER(M15),M15&gt;=$Q$7)),"Review in class",IF(E15&lt;$Q$5,"Monitor","OK")),"")</f>
        <v/>
      </c>
    </row>
  </sheetData>
  <mergeCells count="3">
    <mergeCell ref="A1:N1"/>
    <mergeCell ref="A2:N2"/>
    <mergeCell ref="P4:Q4"/>
  </mergeCells>
  <conditionalFormatting sqref="E5:E15">
    <cfRule type="colorScale" priority="2">
      <colorScale>
        <cfvo type="num" val="0.5"/>
        <cfvo type="num" val="0.75"/>
        <cfvo type="num" val="1"/>
        <color rgb="FFF8696B"/>
        <color rgb="FFFFEB84"/>
        <color rgb="FF63BE7B"/>
      </colorScale>
    </cfRule>
  </conditionalFormatting>
  <conditionalFormatting sqref="N5:N15">
    <cfRule type="expression" priority="3" aboveAverage="0" equalAverage="0" bottom="0" percent="0" rank="0" text="" dxfId="12">
      <formula>N5="Review in class"</formula>
    </cfRule>
    <cfRule type="expression" priority="4" aboveAverage="0" equalAverage="0" bottom="0" percent="0" rank="0" text="" dxfId="18">
      <formula>N5="Monitor"</formula>
    </cfRule>
    <cfRule type="expression" priority="5" aboveAverage="0" equalAverage="0" bottom="0" percent="0" rank="0" text="" dxfId="17">
      <formula>N5="OK"</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10"/>
    <col collapsed="false" customWidth="true" hidden="false" outlineLevel="0" max="4" min="4" style="0" width="12"/>
    <col collapsed="false" customWidth="true" hidden="false" outlineLevel="0" max="5" min="5" style="0" width="16"/>
    <col collapsed="false" customWidth="true" hidden="false" outlineLevel="0" max="6" min="6" style="0" width="12"/>
    <col collapsed="false" customWidth="true" hidden="false" outlineLevel="0" max="7" min="7" style="0" width="11"/>
    <col collapsed="false" customWidth="true" hidden="false" outlineLevel="0" max="8" min="8" style="0" width="12"/>
  </cols>
  <sheetData>
    <row r="1" customFormat="false" ht="30" hidden="false" customHeight="true" outlineLevel="0" collapsed="false">
      <c r="A1" s="1" t="s">
        <v>317</v>
      </c>
      <c r="B1" s="1"/>
      <c r="C1" s="1"/>
      <c r="D1" s="1"/>
      <c r="E1" s="1"/>
      <c r="F1" s="1"/>
      <c r="G1" s="1"/>
      <c r="H1" s="1"/>
    </row>
    <row r="2" customFormat="false" ht="27.75" hidden="false" customHeight="true" outlineLevel="0" collapsed="false">
      <c r="A2" s="2" t="s">
        <v>318</v>
      </c>
      <c r="B2" s="2"/>
      <c r="C2" s="2"/>
      <c r="D2" s="2"/>
      <c r="E2" s="2"/>
      <c r="F2" s="2"/>
      <c r="G2" s="2"/>
      <c r="H2" s="2"/>
    </row>
    <row r="4" customFormat="false" ht="21.75" hidden="false" customHeight="true" outlineLevel="0" collapsed="false">
      <c r="A4" s="3" t="s">
        <v>319</v>
      </c>
      <c r="B4" s="3"/>
      <c r="C4" s="3"/>
      <c r="E4" s="3" t="s">
        <v>46</v>
      </c>
      <c r="F4" s="3"/>
      <c r="G4" s="3"/>
      <c r="H4" s="3"/>
    </row>
    <row r="5" customFormat="false" ht="19.5" hidden="false" customHeight="true" outlineLevel="0" collapsed="false">
      <c r="A5" s="7" t="s">
        <v>172</v>
      </c>
      <c r="B5" s="18" t="n">
        <f aca="false">COUNTA(Roster!$B$5:$B$56)</f>
        <v>52</v>
      </c>
      <c r="E5" s="11" t="s">
        <v>320</v>
      </c>
      <c r="F5" s="11" t="s">
        <v>321</v>
      </c>
      <c r="G5" s="11" t="s">
        <v>168</v>
      </c>
      <c r="H5" s="11" t="s">
        <v>322</v>
      </c>
    </row>
    <row r="6" customFormat="false" ht="14.25" hidden="false" customHeight="false" outlineLevel="0" collapsed="false">
      <c r="A6" s="7" t="s">
        <v>323</v>
      </c>
      <c r="B6" s="18" t="n">
        <f aca="false">COUNTIF('Quiz 2 Grades'!$Q$7:$Q$58,"Graded")</f>
        <v>0</v>
      </c>
      <c r="E6" s="53" t="s">
        <v>324</v>
      </c>
      <c r="F6" s="17" t="str">
        <f aca="false">"≥ "&amp;'Quiz 2 Grades'!$T$3</f>
        <v>≥ 40</v>
      </c>
      <c r="G6" s="18" t="n">
        <f aca="false">COUNTIF('Quiz 2 Grades'!$O$7:$O$58,E6)</f>
        <v>0</v>
      </c>
      <c r="H6" s="15" t="str">
        <f aca="false">IFERROR(G6/SUM($G$6:$G$8),"")</f>
        <v/>
      </c>
    </row>
    <row r="7" customFormat="false" ht="14.25" hidden="false" customHeight="false" outlineLevel="0" collapsed="false">
      <c r="A7" s="7" t="s">
        <v>325</v>
      </c>
      <c r="B7" s="18" t="n">
        <f aca="false">COUNTIF('Quiz 2 Grades'!$Q$7:$Q$58,"Incomplete")</f>
        <v>0</v>
      </c>
      <c r="E7" s="54" t="s">
        <v>326</v>
      </c>
      <c r="F7" s="17" t="str">
        <f aca="false">'Quiz 2 Grades'!$T$4&amp;" – "&amp;('Quiz 2 Grades'!$T$3-1)</f>
        <v>26 – 39</v>
      </c>
      <c r="G7" s="18" t="n">
        <f aca="false">COUNTIF('Quiz 2 Grades'!$O$7:$O$58,E7)</f>
        <v>0</v>
      </c>
      <c r="H7" s="15" t="str">
        <f aca="false">IFERROR(G7/SUM($G$6:$G$8),"")</f>
        <v/>
      </c>
    </row>
    <row r="8" customFormat="false" ht="14.25" hidden="false" customHeight="false" outlineLevel="0" collapsed="false">
      <c r="A8" s="7" t="s">
        <v>327</v>
      </c>
      <c r="B8" s="18" t="n">
        <f aca="false">COUNTIF('Quiz 2 Grades'!$Q$7:$Q$58,"Missing")</f>
        <v>52</v>
      </c>
      <c r="E8" s="55" t="s">
        <v>328</v>
      </c>
      <c r="F8" s="17" t="str">
        <f aca="false">"&lt; "&amp;'Quiz 2 Grades'!$T$4</f>
        <v>&lt; 26</v>
      </c>
      <c r="G8" s="18" t="n">
        <f aca="false">COUNTIF('Quiz 2 Grades'!$O$7:$O$58,E8)</f>
        <v>0</v>
      </c>
      <c r="H8" s="15" t="str">
        <f aca="false">IFERROR(G8/SUM($G$6:$G$8),"")</f>
        <v/>
      </c>
    </row>
    <row r="9" customFormat="false" ht="14.25" hidden="false" customHeight="false" outlineLevel="0" collapsed="false">
      <c r="A9" s="7" t="s">
        <v>329</v>
      </c>
      <c r="B9" s="56" t="str">
        <f aca="false">IFERROR(AVERAGE('Quiz 2 Grades'!$M$7:$M$58),"")</f>
        <v/>
      </c>
      <c r="E9" s="4" t="s">
        <v>330</v>
      </c>
      <c r="G9" s="18" t="n">
        <f aca="false">SUM(G6:G8)</f>
        <v>0</v>
      </c>
    </row>
    <row r="10" customFormat="false" ht="14.25" hidden="false" customHeight="false" outlineLevel="0" collapsed="false">
      <c r="A10" s="7" t="s">
        <v>331</v>
      </c>
      <c r="B10" s="57" t="str">
        <f aca="false">IFERROR(B9/'Quiz 2 Grades'!$M$5,"")</f>
        <v/>
      </c>
    </row>
    <row r="11" customFormat="false" ht="14.25" hidden="false" customHeight="false" outlineLevel="0" collapsed="false">
      <c r="A11" s="7" t="s">
        <v>332</v>
      </c>
      <c r="B11" s="56" t="str">
        <f aca="false">IFERROR(MEDIAN('Quiz 2 Grades'!$M$7:$M$58),"")</f>
        <v/>
      </c>
    </row>
    <row r="12" customFormat="false" ht="14.25" hidden="false" customHeight="false" outlineLevel="0" collapsed="false">
      <c r="A12" s="7" t="s">
        <v>333</v>
      </c>
      <c r="B12" s="56" t="str">
        <f aca="false">IFERROR(STDEV('Quiz 2 Grades'!$M$7:$M$58),"")</f>
        <v/>
      </c>
    </row>
    <row r="13" customFormat="false" ht="14.25" hidden="false" customHeight="false" outlineLevel="0" collapsed="false">
      <c r="A13" s="7" t="s">
        <v>334</v>
      </c>
      <c r="B13" s="18" t="n">
        <f aca="false">IFERROR(MAX('Quiz 2 Grades'!$M$7:$M$58),"")</f>
        <v>0</v>
      </c>
    </row>
    <row r="14" customFormat="false" ht="14.25" hidden="false" customHeight="false" outlineLevel="0" collapsed="false">
      <c r="A14" s="7" t="s">
        <v>335</v>
      </c>
      <c r="B14" s="18" t="n">
        <f aca="false">IFERROR(MIN('Quiz 2 Grades'!$M$7:$M$58),"")</f>
        <v>0</v>
      </c>
    </row>
    <row r="16" customFormat="false" ht="21.75" hidden="false" customHeight="true" outlineLevel="0" collapsed="false">
      <c r="A16" s="3" t="s">
        <v>336</v>
      </c>
      <c r="B16" s="3"/>
      <c r="C16" s="3"/>
    </row>
    <row r="17" customFormat="false" ht="19.5" hidden="false" customHeight="true" outlineLevel="0" collapsed="false">
      <c r="A17" s="11" t="s">
        <v>337</v>
      </c>
      <c r="B17" s="11" t="s">
        <v>338</v>
      </c>
      <c r="C17" s="11" t="s">
        <v>339</v>
      </c>
      <c r="D17" s="11" t="s">
        <v>168</v>
      </c>
    </row>
    <row r="18" customFormat="false" ht="14.25" hidden="false" customHeight="false" outlineLevel="0" collapsed="false">
      <c r="A18" s="17" t="str">
        <f aca="false">B18&amp;"–"&amp;C18</f>
        <v>0–9</v>
      </c>
      <c r="B18" s="13" t="n">
        <v>0</v>
      </c>
      <c r="C18" s="13" t="n">
        <v>9</v>
      </c>
      <c r="D18" s="18" t="n">
        <f aca="false">COUNTIFS('Quiz 2 Grades'!$M$7:$M$58,"&gt;="&amp;B18,'Quiz 2 Grades'!$M$7:$M$58,"&lt;"&amp;(C18+1))</f>
        <v>0</v>
      </c>
    </row>
    <row r="19" customFormat="false" ht="14.25" hidden="false" customHeight="false" outlineLevel="0" collapsed="false">
      <c r="A19" s="17" t="str">
        <f aca="false">B19&amp;"–"&amp;C19</f>
        <v>10–19</v>
      </c>
      <c r="B19" s="13" t="n">
        <v>10</v>
      </c>
      <c r="C19" s="13" t="n">
        <v>19</v>
      </c>
      <c r="D19" s="18" t="n">
        <f aca="false">COUNTIFS('Quiz 2 Grades'!$M$7:$M$58,"&gt;="&amp;B19,'Quiz 2 Grades'!$M$7:$M$58,"&lt;"&amp;(C19+1))</f>
        <v>0</v>
      </c>
    </row>
    <row r="20" customFormat="false" ht="14.25" hidden="false" customHeight="false" outlineLevel="0" collapsed="false">
      <c r="A20" s="17" t="str">
        <f aca="false">B20&amp;"–"&amp;C20</f>
        <v>20–29</v>
      </c>
      <c r="B20" s="13" t="n">
        <v>20</v>
      </c>
      <c r="C20" s="13" t="n">
        <v>29</v>
      </c>
      <c r="D20" s="18" t="n">
        <f aca="false">COUNTIFS('Quiz 2 Grades'!$M$7:$M$58,"&gt;="&amp;B20,'Quiz 2 Grades'!$M$7:$M$58,"&lt;"&amp;(C20+1))</f>
        <v>0</v>
      </c>
    </row>
    <row r="21" customFormat="false" ht="14.25" hidden="false" customHeight="false" outlineLevel="0" collapsed="false">
      <c r="A21" s="17" t="str">
        <f aca="false">B21&amp;"–"&amp;C21</f>
        <v>30–39</v>
      </c>
      <c r="B21" s="13" t="n">
        <v>30</v>
      </c>
      <c r="C21" s="13" t="n">
        <v>39</v>
      </c>
      <c r="D21" s="18" t="n">
        <f aca="false">COUNTIFS('Quiz 2 Grades'!$M$7:$M$58,"&gt;="&amp;B21,'Quiz 2 Grades'!$M$7:$M$58,"&lt;"&amp;(C21+1))</f>
        <v>0</v>
      </c>
    </row>
    <row r="22" customFormat="false" ht="14.25" hidden="false" customHeight="false" outlineLevel="0" collapsed="false">
      <c r="A22" s="17" t="str">
        <f aca="false">B22&amp;"–"&amp;C22</f>
        <v>40–50</v>
      </c>
      <c r="B22" s="13" t="n">
        <v>40</v>
      </c>
      <c r="C22" s="13" t="n">
        <v>50</v>
      </c>
      <c r="D22" s="18" t="n">
        <f aca="false">COUNTIFS('Quiz 2 Grades'!$M$7:$M$58,"&gt;="&amp;B22,'Quiz 2 Grades'!$M$7:$M$58,"&lt;"&amp;(C22+1))</f>
        <v>0</v>
      </c>
    </row>
    <row r="23" customFormat="false" ht="14.25" hidden="false" customHeight="false" outlineLevel="0" collapsed="false">
      <c r="A23" s="4" t="s">
        <v>340</v>
      </c>
      <c r="D23" s="18" t="n">
        <f aca="false">SUM(D18:D22)</f>
        <v>0</v>
      </c>
    </row>
    <row r="24" customFormat="false" ht="14.25" hidden="false" customHeight="false" outlineLevel="0" collapsed="false">
      <c r="A24" s="58" t="s">
        <v>341</v>
      </c>
      <c r="D24" s="17" t="str">
        <f aca="false">IF(D23=B6,"✔ OK","Check bins")</f>
        <v>✔ OK</v>
      </c>
    </row>
  </sheetData>
  <mergeCells count="5">
    <mergeCell ref="A1:H1"/>
    <mergeCell ref="A2:H2"/>
    <mergeCell ref="A4:C4"/>
    <mergeCell ref="E4:H4"/>
    <mergeCell ref="A16:C16"/>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true"/>
  </sheetPr>
  <dimension ref="A1:AR121"/>
  <sheetViews>
    <sheetView showFormulas="false" showGridLines="false" showRowColHeaders="true" showZeros="true" rightToLeft="false" tabSelected="false" showOutlineSymbols="true" defaultGridColor="true" view="normal" topLeftCell="A1" colorId="64" zoomScale="73" zoomScaleNormal="73"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3" min="3" style="0" width="13"/>
    <col collapsed="false" customWidth="true" hidden="false" outlineLevel="0" max="4" min="4" style="0" width="12"/>
    <col collapsed="false" customWidth="true" hidden="false" outlineLevel="0" max="7" min="5" style="0" width="13"/>
    <col collapsed="false" customWidth="true" hidden="false" outlineLevel="0" max="8" min="8" style="0" width="16"/>
    <col collapsed="false" customWidth="true" hidden="false" outlineLevel="0" max="9" min="9" style="0" width="3"/>
    <col collapsed="false" customWidth="true" hidden="false" outlineLevel="0" max="10" min="10" style="0" width="30"/>
    <col collapsed="false" customWidth="true" hidden="false" outlineLevel="0" max="11" min="11" style="0" width="13"/>
    <col collapsed="false" customWidth="true" hidden="false" outlineLevel="0" max="12" min="12" style="0" width="12"/>
    <col collapsed="false" customWidth="true" hidden="false" outlineLevel="0" max="13" min="13" style="0" width="20"/>
    <col collapsed="false" customWidth="true" hidden="false" outlineLevel="0" max="14" min="14" style="0" width="40"/>
    <col collapsed="false" customWidth="true" hidden="false" outlineLevel="0" max="15" min="15" style="0" width="3"/>
    <col collapsed="false" customWidth="true" hidden="false" outlineLevel="0" max="16" min="16" style="0" width="5"/>
    <col collapsed="false" customWidth="true" hidden="false" outlineLevel="0" max="19" min="17" style="0" width="9"/>
    <col collapsed="false" customWidth="true" hidden="false" outlineLevel="0" max="20" min="20" style="0" width="10"/>
    <col collapsed="false" customWidth="true" hidden="false" outlineLevel="0" max="23" min="21" style="0" width="9"/>
    <col collapsed="false" customWidth="true" hidden="false" outlineLevel="0" max="24" min="24" style="0" width="3"/>
    <col collapsed="false" customWidth="true" hidden="false" outlineLevel="0" max="25" min="25" style="0" width="30"/>
    <col collapsed="false" customWidth="true" hidden="false" outlineLevel="0" max="26" min="26" style="0" width="12"/>
    <col collapsed="false" customWidth="true" hidden="false" outlineLevel="0" max="27" min="27" style="0" width="3"/>
    <col collapsed="false" customWidth="true" hidden="false" outlineLevel="0" max="44" min="28" style="0" width="7"/>
  </cols>
  <sheetData>
    <row r="1" customFormat="false" ht="30" hidden="false" customHeight="true" outlineLevel="0" collapsed="false">
      <c r="A1" s="1" t="s">
        <v>342</v>
      </c>
      <c r="B1" s="1"/>
      <c r="C1" s="1"/>
      <c r="D1" s="1"/>
      <c r="E1" s="1"/>
      <c r="F1" s="1"/>
      <c r="G1" s="1"/>
      <c r="H1" s="1"/>
      <c r="I1" s="1"/>
      <c r="J1" s="1"/>
      <c r="K1" s="1"/>
      <c r="L1" s="1"/>
      <c r="M1" s="1"/>
      <c r="N1" s="1"/>
    </row>
    <row r="2" customFormat="false" ht="27.75" hidden="false" customHeight="true" outlineLevel="0" collapsed="false">
      <c r="A2" s="2" t="s">
        <v>343</v>
      </c>
      <c r="B2" s="2"/>
      <c r="C2" s="2"/>
      <c r="D2" s="2"/>
      <c r="E2" s="2"/>
      <c r="F2" s="2"/>
      <c r="G2" s="2"/>
      <c r="H2" s="2"/>
      <c r="I2" s="2"/>
      <c r="J2" s="2"/>
      <c r="K2" s="2"/>
      <c r="L2" s="2"/>
      <c r="M2" s="2"/>
      <c r="N2" s="2"/>
    </row>
    <row r="4" customFormat="false" ht="21.75" hidden="false" customHeight="true" outlineLevel="0" collapsed="false">
      <c r="A4" s="3" t="s">
        <v>344</v>
      </c>
      <c r="B4" s="3"/>
      <c r="C4" s="3"/>
      <c r="D4" s="3"/>
      <c r="E4" s="3"/>
      <c r="F4" s="3"/>
      <c r="G4" s="3"/>
      <c r="H4" s="3"/>
      <c r="I4" s="3"/>
      <c r="J4" s="3"/>
      <c r="K4" s="3"/>
      <c r="L4" s="3"/>
      <c r="M4" s="3"/>
      <c r="N4" s="3"/>
    </row>
    <row r="5" customFormat="false" ht="31.5" hidden="false" customHeight="true" outlineLevel="0" collapsed="false">
      <c r="A5" s="59" t="str">
        <f aca="false">IF(nGraded&lt;2,"Center: shown once at least 2 quizzes are fully graded (now "&amp;nGraded&amp;").","Center: mean "&amp;TEXT(MeanScore,"0.0")&amp;" / "&amp;MaxScore&amp;" ("&amp;TEXT(MeanScore/MaxScore,"0%")&amp;"), median "&amp;TEXT(MedianScore,"0.0")&amp;" ("&amp;TEXT(MedianScore/MaxScore,"0%")&amp;"). "&amp;TEXT($B$35,"0%")&amp;" confidence interval for the class mean: "&amp;TEXT($B$21,"0.0")&amp;" – "&amp;TEXT($B$22,"0.0")&amp;" points (n = "&amp;nGraded&amp;").")</f>
        <v>Center: shown once at least 2 quizzes are fully graded (now 0).</v>
      </c>
      <c r="B5" s="59"/>
      <c r="C5" s="59"/>
      <c r="D5" s="59"/>
      <c r="E5" s="59"/>
      <c r="F5" s="59"/>
      <c r="G5" s="59"/>
      <c r="H5" s="59"/>
      <c r="I5" s="59"/>
      <c r="J5" s="59"/>
      <c r="K5" s="59"/>
      <c r="L5" s="59"/>
      <c r="M5" s="59"/>
      <c r="N5" s="59"/>
    </row>
    <row r="6" customFormat="false" ht="31.5" hidden="false" customHeight="true" outlineLevel="0" collapsed="false">
      <c r="A6" s="60" t="str">
        <f aca="false">IF(nGraded&lt;2,"Spread: shown once at least 2 quizzes are fully graded (now "&amp;nGraded&amp;").","Spread: standard deviation "&amp;TEXT(SDScore,"0.0")&amp;" points (CV "&amp;TEXT($B$29,"0%")&amp;"). The middle 50% of students scored between "&amp;TEXT($B$24,"0")&amp;" and "&amp;TEXT($B$25,"0")&amp;"; range "&amp;$B$23&amp;" – "&amp;$B$26&amp;".")</f>
        <v>Spread: shown once at least 2 quizzes are fully graded (now 0).</v>
      </c>
      <c r="B6" s="60"/>
      <c r="C6" s="60"/>
      <c r="D6" s="60"/>
      <c r="E6" s="60"/>
      <c r="F6" s="60"/>
      <c r="G6" s="60"/>
      <c r="H6" s="60"/>
      <c r="I6" s="60"/>
      <c r="J6" s="60"/>
      <c r="K6" s="60"/>
      <c r="L6" s="60"/>
      <c r="M6" s="60"/>
      <c r="N6" s="60"/>
    </row>
    <row r="7" customFormat="false" ht="31.5" hidden="false" customHeight="true" outlineLevel="0" collapsed="false">
      <c r="A7" s="59" t="str">
        <f aca="false">IF(nGraded&lt;4,"Shape: shown once at least 4 quizzes are fully graded (now "&amp;nGraded&amp;").",IF(SkewScore&lt;=-0.5,"Shape: left-skewed (skewness "&amp;TEXT(SkewScore,"0.00")&amp;") — most students scored high, with a tail of low scores, so the median ("&amp;TEXT(MedianScore,"0.0")&amp;") describes the typical student better than the mean.",IF(SkewScore&gt;=0.5,"Shape: right-skewed (skewness "&amp;TEXT(SkewScore,"0.00")&amp;") — most students scored low with a few high scores.","Shape: roughly symmetric (skewness "&amp;TEXT(SkewScore,"0.00")&amp;")."))&amp;IF(KurtScore&lt;=-0.5," The peak is flatter than a bell curve (excess kurtosis "&amp;TEXT(KurtScore,"0.00")&amp;"): scores are spread out rather than piled up near the mean.",IF(KurtScore&gt;=0.5," The peak is sharper than a bell curve (excess kurtosis "&amp;TEXT(KurtScore,"0.00")&amp;").","")))</f>
        <v>Shape: shown once at least 4 quizzes are fully graded (now 0).</v>
      </c>
      <c r="B7" s="59"/>
      <c r="C7" s="59"/>
      <c r="D7" s="59"/>
      <c r="E7" s="59"/>
      <c r="F7" s="59"/>
      <c r="G7" s="59"/>
      <c r="H7" s="59"/>
      <c r="I7" s="59"/>
      <c r="J7" s="59"/>
      <c r="K7" s="59"/>
      <c r="L7" s="59"/>
      <c r="M7" s="59"/>
      <c r="N7" s="59"/>
    </row>
    <row r="8" customFormat="false" ht="31.5" hidden="false" customHeight="true" outlineLevel="0" collapsed="false">
      <c r="A8" s="60" t="str">
        <f aca="false">IF(nGraded&lt;12,"Normality: need at least 12 graded quizzes.",IF(AND($L$19&gt;=Alpha,$L$18&gt;=Alpha),"Normality: consistent with a Gaussian distribution (Shapiro–Wilk p = "&amp;TEXT($L$19,"0.000")&amp;", Anderson–Darling p = "&amp;TEXT($L$18,"0.000")&amp;"), so z-scores and σ-bands are a fair summary of standing.",IF(AND($L$19&lt;Alpha,$L$18&lt;Alpha),"Normality: the scores are NOT Gaussian (Shapiro–Wilk p = "&amp;TEXT($L$19,"0.000")&amp;", Anderson–Darling p = "&amp;TEXT($L$18,"0.000")&amp;") — see the shape and ceiling notes. Use the median and percentiles as the main summary and treat z-scores as approximate; avoid curving grades with a normal curve.","Normality: borderline — Shapiro–Wilk p = "&amp;TEXT($L$19,"0.000")&amp;", Anderson–Darling p = "&amp;TEXT($L$18,"0.000")&amp;". The Gaussian curve is a rough approximation only.")))</f>
        <v>Normality: need at least 12 graded quizzes.</v>
      </c>
      <c r="B8" s="60"/>
      <c r="C8" s="60"/>
      <c r="D8" s="60"/>
      <c r="E8" s="60"/>
      <c r="F8" s="60"/>
      <c r="G8" s="60"/>
      <c r="H8" s="60"/>
      <c r="I8" s="60"/>
      <c r="J8" s="60"/>
      <c r="K8" s="60"/>
      <c r="L8" s="60"/>
      <c r="M8" s="60"/>
      <c r="N8" s="60"/>
    </row>
    <row r="9" customFormat="false" ht="31.5" hidden="false" customHeight="true" outlineLevel="0" collapsed="false">
      <c r="A9" s="59" t="str">
        <f aca="false">IF(nGraded&lt;2,"Ceiling: shown once at least 2 quizzes are fully graded (now "&amp;nGraded&amp;").","Ceiling: a Gaussian curve with this mean and SD would place "&amp;TEXT(G51,"0.0%")&amp;" of students above the maximum of "&amp;MaxScore&amp;" points, and "&amp;COUNTIF(Totals,MaxScore)&amp;" students scored exactly "&amp;MaxScore&amp;"."&amp;IF(G51&gt;=0.05," This ceiling effect means the quiz could not separate the strongest students (and is one reason the distribution is not bell-shaped).",""))</f>
        <v>Ceiling: shown once at least 2 quizzes are fully graded (now 0).</v>
      </c>
      <c r="B9" s="59"/>
      <c r="C9" s="59"/>
      <c r="D9" s="59"/>
      <c r="E9" s="59"/>
      <c r="F9" s="59"/>
      <c r="G9" s="59"/>
      <c r="H9" s="59"/>
      <c r="I9" s="59"/>
      <c r="J9" s="59"/>
      <c r="K9" s="59"/>
      <c r="L9" s="59"/>
      <c r="M9" s="59"/>
      <c r="N9" s="59"/>
    </row>
    <row r="10" customFormat="false" ht="31.5" hidden="false" customHeight="true" outlineLevel="0" collapsed="false">
      <c r="A10" s="60" t="str">
        <f aca="false">IF(nGraded&lt;2,"Lower tail: shown once at least 2 quizzes are fully graded (now "&amp;nGraded&amp;").","Lower tail: "&amp;COUNTIF(Totals,"&lt;"&amp;(MeanScore-SDScore))&amp;" students scored more than 1σ below the mean (below "&amp;TEXT(MeanScore-SDScore,"0.0")&amp;") and "&amp;COUNTIF(Totals,"&lt;"&amp;(MeanScore-2*SDScore))&amp;" more than 2σ below (below "&amp;TEXT(MeanScore-2*SDScore,"0.0")&amp;"); a Gaussian curve predicts "&amp;TEXT(nGraded*(1-NORMSDIST(1)),"0")&amp;" and "&amp;TEXT(nGraded*(1-NORMSDIST(2)),"0")&amp;". See section 6 for names.")</f>
        <v>Lower tail: shown once at least 2 quizzes are fully graded (now 0).</v>
      </c>
      <c r="B10" s="60"/>
      <c r="C10" s="60"/>
      <c r="D10" s="60"/>
      <c r="E10" s="60"/>
      <c r="F10" s="60"/>
      <c r="G10" s="60"/>
      <c r="H10" s="60"/>
      <c r="I10" s="60"/>
      <c r="J10" s="60"/>
      <c r="K10" s="60"/>
      <c r="L10" s="60"/>
      <c r="M10" s="60"/>
      <c r="N10" s="60"/>
    </row>
    <row r="11" customFormat="false" ht="31.5" hidden="false" customHeight="true" outlineLevel="0" collapsed="false">
      <c r="A11" s="59" t="str">
        <f aca="false">IFERROR("Questions: reliability (Cronbach's α) = "&amp;TEXT(C65,"0.00")&amp;" ("&amp;LOWER(D65)&amp;"). Hardest question: "&amp;INDEX(A57:A64,MATCH(MIN(D57:D64),D57:D64,0))&amp;" (average "&amp;TEXT(MIN(D57:D64),"0%")&amp;"). Weakest at separating strong from weak students: "&amp;INDEX(A57:A64,MATCH(MIN(F57:F64),F57:F64,0))&amp;" (item–rest r = "&amp;TEXT(MIN(F57:F64),"0.00")&amp;").","Questions: not enough graded quizzes for item analysis.")</f>
        <v>Questions: not enough graded quizzes for item analysis.</v>
      </c>
      <c r="B11" s="59"/>
      <c r="C11" s="59"/>
      <c r="D11" s="59"/>
      <c r="E11" s="59"/>
      <c r="F11" s="59"/>
      <c r="G11" s="59"/>
      <c r="H11" s="59"/>
      <c r="I11" s="59"/>
      <c r="J11" s="59"/>
      <c r="K11" s="59"/>
      <c r="L11" s="59"/>
      <c r="M11" s="59"/>
      <c r="N11" s="59"/>
    </row>
    <row r="13" customFormat="false" ht="21.75" hidden="false" customHeight="true" outlineLevel="0" collapsed="false">
      <c r="A13" s="3" t="s">
        <v>345</v>
      </c>
      <c r="B13" s="3"/>
      <c r="C13" s="3"/>
      <c r="J13" s="3" t="s">
        <v>346</v>
      </c>
      <c r="K13" s="3"/>
      <c r="L13" s="3"/>
      <c r="M13" s="3"/>
      <c r="N13" s="3"/>
      <c r="P13" s="61" t="s">
        <v>347</v>
      </c>
      <c r="Q13" s="61"/>
      <c r="R13" s="61"/>
      <c r="S13" s="61"/>
      <c r="T13" s="61"/>
      <c r="U13" s="61"/>
      <c r="V13" s="61"/>
      <c r="W13" s="61"/>
      <c r="Y13" s="62" t="s">
        <v>348</v>
      </c>
      <c r="AB13" s="62" t="s">
        <v>349</v>
      </c>
    </row>
    <row r="14" customFormat="false" ht="30" hidden="false" customHeight="true" outlineLevel="0" collapsed="false">
      <c r="A14" s="11" t="s">
        <v>350</v>
      </c>
      <c r="B14" s="11" t="s">
        <v>351</v>
      </c>
      <c r="C14" s="11" t="s">
        <v>352</v>
      </c>
      <c r="J14" s="11" t="s">
        <v>353</v>
      </c>
      <c r="K14" s="11" t="s">
        <v>350</v>
      </c>
      <c r="L14" s="11" t="s">
        <v>354</v>
      </c>
      <c r="M14" s="11" t="s">
        <v>355</v>
      </c>
      <c r="N14" s="11" t="s">
        <v>356</v>
      </c>
      <c r="P14" s="40" t="s">
        <v>357</v>
      </c>
      <c r="Q14" s="40" t="s">
        <v>358</v>
      </c>
      <c r="R14" s="40" t="s">
        <v>359</v>
      </c>
      <c r="S14" s="40" t="s">
        <v>360</v>
      </c>
      <c r="T14" s="40" t="s">
        <v>361</v>
      </c>
      <c r="U14" s="40" t="s">
        <v>362</v>
      </c>
      <c r="V14" s="40" t="s">
        <v>363</v>
      </c>
      <c r="W14" s="40" t="s">
        <v>364</v>
      </c>
      <c r="AB14" s="40" t="s">
        <v>340</v>
      </c>
      <c r="AC14" s="40" t="s">
        <v>188</v>
      </c>
      <c r="AD14" s="40" t="s">
        <v>191</v>
      </c>
      <c r="AE14" s="40" t="s">
        <v>194</v>
      </c>
      <c r="AF14" s="40" t="s">
        <v>197</v>
      </c>
      <c r="AG14" s="40" t="s">
        <v>200</v>
      </c>
      <c r="AH14" s="40" t="s">
        <v>203</v>
      </c>
      <c r="AI14" s="40" t="s">
        <v>206</v>
      </c>
      <c r="AJ14" s="40" t="s">
        <v>209</v>
      </c>
      <c r="AK14" s="40" t="s">
        <v>365</v>
      </c>
      <c r="AL14" s="40" t="s">
        <v>366</v>
      </c>
      <c r="AM14" s="40" t="s">
        <v>367</v>
      </c>
      <c r="AN14" s="40" t="s">
        <v>368</v>
      </c>
      <c r="AO14" s="40" t="s">
        <v>369</v>
      </c>
      <c r="AP14" s="40" t="s">
        <v>370</v>
      </c>
      <c r="AQ14" s="40" t="s">
        <v>371</v>
      </c>
      <c r="AR14" s="40" t="s">
        <v>372</v>
      </c>
    </row>
    <row r="15" customFormat="false" ht="26.25" hidden="false" customHeight="true" outlineLevel="0" collapsed="false">
      <c r="A15" s="7" t="s">
        <v>373</v>
      </c>
      <c r="B15" s="18" t="n">
        <f aca="false">COUNT(Totals)</f>
        <v>0</v>
      </c>
      <c r="C15" s="63" t="s">
        <v>374</v>
      </c>
      <c r="J15" s="7" t="s">
        <v>375</v>
      </c>
      <c r="K15" s="64" t="str">
        <f aca="false">IFERROR(SkewScore/$Z$33,"")</f>
        <v/>
      </c>
      <c r="L15" s="64" t="str">
        <f aca="false">IFERROR(2*(1-NORMSDIST(ABS(K15))),"")</f>
        <v/>
      </c>
      <c r="M15" s="12" t="str">
        <f aca="false">IF(ISNUMBER(L15),IF(L15&lt;Alpha,"Not normal (p &lt; α)","Consistent with normal"),"")</f>
        <v/>
      </c>
      <c r="N15" s="63" t="s">
        <v>376</v>
      </c>
      <c r="P15" s="65" t="n">
        <v>1</v>
      </c>
      <c r="Q15" s="65" t="e">
        <f aca="false">IF(P15&lt;=nGraded,SMALL(Totals,P15),NA())</f>
        <v>#N/A</v>
      </c>
      <c r="R15" s="66" t="str">
        <f aca="false">IF(P15&lt;=nGraded,(P15-0.375)/(nGraded+0.25),"")</f>
        <v/>
      </c>
      <c r="S15" s="66" t="str">
        <f aca="false">IF(P15&lt;=nGraded,NORMSINV(R15),"")</f>
        <v/>
      </c>
      <c r="T15" s="66" t="e">
        <f aca="false">IFERROR(IF(P15&lt;=nGraded,MeanScore+SDScore*S15,NA()),NA())</f>
        <v>#N/A</v>
      </c>
      <c r="U15" s="66" t="str">
        <f aca="false">IFERROR(IF(P15&gt;nGraded,"",IF(P15=nGraded,$Z$19,IF(P15=nGraded-1,$Z$20,IF(P15=1,-$Z$19,IF(P15=2,-$Z$20,S15/SQRT($Z$21)))))),"")</f>
        <v/>
      </c>
      <c r="V15" s="66" t="str">
        <f aca="false">IFERROR(IF(P15&lt;=nGraded,U15*Q15,""),"")</f>
        <v/>
      </c>
      <c r="W15" s="66" t="str">
        <f aca="false">IFERROR(IF(P15&lt;=nGraded,(2*P15-1)*(LN(NORMDIST(Q15,MeanScore,SDScore,TRUE()))+LN(1-NORMDIST(LARGE(Totals,P15),MeanScore,SDScore,TRUE()))),""),"")</f>
        <v/>
      </c>
      <c r="Y15" s="67" t="s">
        <v>377</v>
      </c>
      <c r="Z15" s="68" t="n">
        <f aca="false">IFERROR(SUMSQ(S15:S66),"")</f>
        <v>0</v>
      </c>
      <c r="AB15" s="69" t="str">
        <f aca="false">IF('Quiz 2 Grades'!$Q7="Graded",'Quiz 2 Grades'!$M7,"")</f>
        <v/>
      </c>
      <c r="AC15" s="69" t="str">
        <f aca="false">IF('Quiz 2 Grades'!$Q7="Graded",'Quiz 2 Grades'!C7,"")</f>
        <v/>
      </c>
      <c r="AD15" s="69" t="str">
        <f aca="false">IF('Quiz 2 Grades'!$Q7="Graded",'Quiz 2 Grades'!D7,"")</f>
        <v/>
      </c>
      <c r="AE15" s="69" t="str">
        <f aca="false">IF('Quiz 2 Grades'!$Q7="Graded",'Quiz 2 Grades'!E7,"")</f>
        <v/>
      </c>
      <c r="AF15" s="69" t="str">
        <f aca="false">IF('Quiz 2 Grades'!$Q7="Graded",'Quiz 2 Grades'!F7,"")</f>
        <v/>
      </c>
      <c r="AG15" s="69" t="str">
        <f aca="false">IF('Quiz 2 Grades'!$Q7="Graded",'Quiz 2 Grades'!G7,"")</f>
        <v/>
      </c>
      <c r="AH15" s="69" t="str">
        <f aca="false">IF('Quiz 2 Grades'!$Q7="Graded",'Quiz 2 Grades'!I7,"")</f>
        <v/>
      </c>
      <c r="AI15" s="69" t="str">
        <f aca="false">IF('Quiz 2 Grades'!$Q7="Graded",'Quiz 2 Grades'!J7,"")</f>
        <v/>
      </c>
      <c r="AJ15" s="69" t="str">
        <f aca="false">IF('Quiz 2 Grades'!$Q7="Graded",'Quiz 2 Grades'!K7,"")</f>
        <v/>
      </c>
      <c r="AK15" s="69" t="str">
        <f aca="false">IF(ISNUMBER(AB15),AB15-AC15,"")</f>
        <v/>
      </c>
      <c r="AL15" s="69" t="str">
        <f aca="false">IF(ISNUMBER(AB15),AB15-AD15,"")</f>
        <v/>
      </c>
      <c r="AM15" s="69" t="str">
        <f aca="false">IF(ISNUMBER(AB15),AB15-AE15,"")</f>
        <v/>
      </c>
      <c r="AN15" s="69" t="str">
        <f aca="false">IF(ISNUMBER(AB15),AB15-AF15,"")</f>
        <v/>
      </c>
      <c r="AO15" s="69" t="str">
        <f aca="false">IF(ISNUMBER(AB15),AB15-AG15,"")</f>
        <v/>
      </c>
      <c r="AP15" s="69" t="str">
        <f aca="false">IF(ISNUMBER(AB15),AB15-AH15,"")</f>
        <v/>
      </c>
      <c r="AQ15" s="69" t="str">
        <f aca="false">IF(ISNUMBER(AB15),AB15-AI15,"")</f>
        <v/>
      </c>
      <c r="AR15" s="69" t="str">
        <f aca="false">IF(ISNUMBER(AB15),AB15-AJ15,"")</f>
        <v/>
      </c>
    </row>
    <row r="16" customFormat="false" ht="26.25" hidden="false" customHeight="true" outlineLevel="0" collapsed="false">
      <c r="A16" s="7" t="s">
        <v>378</v>
      </c>
      <c r="B16" s="70" t="str">
        <f aca="false">IFERROR(AVERAGE(Totals),"")</f>
        <v/>
      </c>
      <c r="C16" s="63"/>
      <c r="J16" s="7" t="s">
        <v>379</v>
      </c>
      <c r="K16" s="64" t="str">
        <f aca="false">IFERROR(KurtScore/$Z$34,"")</f>
        <v/>
      </c>
      <c r="L16" s="64" t="str">
        <f aca="false">IFERROR(2*(1-NORMSDIST(ABS(K16))),"")</f>
        <v/>
      </c>
      <c r="M16" s="12" t="str">
        <f aca="false">IF(ISNUMBER(L16),IF(L16&lt;Alpha,"Not normal (p &lt; α)","Consistent with normal"),"")</f>
        <v/>
      </c>
      <c r="N16" s="63" t="s">
        <v>380</v>
      </c>
      <c r="P16" s="65" t="n">
        <v>2</v>
      </c>
      <c r="Q16" s="65" t="e">
        <f aca="false">IF(P16&lt;=nGraded,SMALL(Totals,P16),NA())</f>
        <v>#N/A</v>
      </c>
      <c r="R16" s="66" t="str">
        <f aca="false">IF(P16&lt;=nGraded,(P16-0.375)/(nGraded+0.25),"")</f>
        <v/>
      </c>
      <c r="S16" s="66" t="str">
        <f aca="false">IF(P16&lt;=nGraded,NORMSINV(R16),"")</f>
        <v/>
      </c>
      <c r="T16" s="66" t="e">
        <f aca="false">IFERROR(IF(P16&lt;=nGraded,MeanScore+SDScore*S16,NA()),NA())</f>
        <v>#N/A</v>
      </c>
      <c r="U16" s="66" t="str">
        <f aca="false">IFERROR(IF(P16&gt;nGraded,"",IF(P16=nGraded,$Z$19,IF(P16=nGraded-1,$Z$20,IF(P16=1,-$Z$19,IF(P16=2,-$Z$20,S16/SQRT($Z$21)))))),"")</f>
        <v/>
      </c>
      <c r="V16" s="66" t="str">
        <f aca="false">IFERROR(IF(P16&lt;=nGraded,U16*Q16,""),"")</f>
        <v/>
      </c>
      <c r="W16" s="66" t="str">
        <f aca="false">IFERROR(IF(P16&lt;=nGraded,(2*P16-1)*(LN(NORMDIST(Q16,MeanScore,SDScore,TRUE()))+LN(1-NORMDIST(LARGE(Totals,P16),MeanScore,SDScore,TRUE()))),""),"")</f>
        <v/>
      </c>
      <c r="Y16" s="67" t="s">
        <v>381</v>
      </c>
      <c r="Z16" s="68" t="str">
        <f aca="false">IFERROR(1/SQRT(nGraded),"")</f>
        <v/>
      </c>
      <c r="AB16" s="69" t="str">
        <f aca="false">IF('Quiz 2 Grades'!$Q8="Graded",'Quiz 2 Grades'!$M8,"")</f>
        <v/>
      </c>
      <c r="AC16" s="69" t="str">
        <f aca="false">IF('Quiz 2 Grades'!$Q8="Graded",'Quiz 2 Grades'!C8,"")</f>
        <v/>
      </c>
      <c r="AD16" s="69" t="str">
        <f aca="false">IF('Quiz 2 Grades'!$Q8="Graded",'Quiz 2 Grades'!D8,"")</f>
        <v/>
      </c>
      <c r="AE16" s="69" t="str">
        <f aca="false">IF('Quiz 2 Grades'!$Q8="Graded",'Quiz 2 Grades'!E8,"")</f>
        <v/>
      </c>
      <c r="AF16" s="69" t="str">
        <f aca="false">IF('Quiz 2 Grades'!$Q8="Graded",'Quiz 2 Grades'!F8,"")</f>
        <v/>
      </c>
      <c r="AG16" s="69" t="str">
        <f aca="false">IF('Quiz 2 Grades'!$Q8="Graded",'Quiz 2 Grades'!G8,"")</f>
        <v/>
      </c>
      <c r="AH16" s="69" t="str">
        <f aca="false">IF('Quiz 2 Grades'!$Q8="Graded",'Quiz 2 Grades'!I8,"")</f>
        <v/>
      </c>
      <c r="AI16" s="69" t="str">
        <f aca="false">IF('Quiz 2 Grades'!$Q8="Graded",'Quiz 2 Grades'!J8,"")</f>
        <v/>
      </c>
      <c r="AJ16" s="69" t="str">
        <f aca="false">IF('Quiz 2 Grades'!$Q8="Graded",'Quiz 2 Grades'!K8,"")</f>
        <v/>
      </c>
      <c r="AK16" s="69" t="str">
        <f aca="false">IF(ISNUMBER(AB16),AB16-AC16,"")</f>
        <v/>
      </c>
      <c r="AL16" s="69" t="str">
        <f aca="false">IF(ISNUMBER(AB16),AB16-AD16,"")</f>
        <v/>
      </c>
      <c r="AM16" s="69" t="str">
        <f aca="false">IF(ISNUMBER(AB16),AB16-AE16,"")</f>
        <v/>
      </c>
      <c r="AN16" s="69" t="str">
        <f aca="false">IF(ISNUMBER(AB16),AB16-AF16,"")</f>
        <v/>
      </c>
      <c r="AO16" s="69" t="str">
        <f aca="false">IF(ISNUMBER(AB16),AB16-AG16,"")</f>
        <v/>
      </c>
      <c r="AP16" s="69" t="str">
        <f aca="false">IF(ISNUMBER(AB16),AB16-AH16,"")</f>
        <v/>
      </c>
      <c r="AQ16" s="69" t="str">
        <f aca="false">IF(ISNUMBER(AB16),AB16-AI16,"")</f>
        <v/>
      </c>
      <c r="AR16" s="69" t="str">
        <f aca="false">IF(ISNUMBER(AB16),AB16-AJ16,"")</f>
        <v/>
      </c>
    </row>
    <row r="17" customFormat="false" ht="26.25" hidden="false" customHeight="true" outlineLevel="0" collapsed="false">
      <c r="A17" s="7" t="s">
        <v>382</v>
      </c>
      <c r="B17" s="56" t="str">
        <f aca="false">IFERROR(MEDIAN(Totals),"")</f>
        <v/>
      </c>
      <c r="C17" s="63" t="s">
        <v>383</v>
      </c>
      <c r="J17" s="7" t="s">
        <v>384</v>
      </c>
      <c r="K17" s="64" t="str">
        <f aca="false">IFERROR(nGraded/6*(SkewScore^2+KurtScore^2/4),"")</f>
        <v/>
      </c>
      <c r="L17" s="64" t="str">
        <f aca="false">IFERROR(CHIDIST(K17,2),"")</f>
        <v/>
      </c>
      <c r="M17" s="12" t="str">
        <f aca="false">IF(ISNUMBER(L17),IF(L17&lt;Alpha,"Not normal (p &lt; α)","Consistent with normal"),"")</f>
        <v/>
      </c>
      <c r="N17" s="63" t="s">
        <v>385</v>
      </c>
      <c r="P17" s="65" t="n">
        <v>3</v>
      </c>
      <c r="Q17" s="65" t="e">
        <f aca="false">IF(P17&lt;=nGraded,SMALL(Totals,P17),NA())</f>
        <v>#N/A</v>
      </c>
      <c r="R17" s="66" t="str">
        <f aca="false">IF(P17&lt;=nGraded,(P17-0.375)/(nGraded+0.25),"")</f>
        <v/>
      </c>
      <c r="S17" s="66" t="str">
        <f aca="false">IF(P17&lt;=nGraded,NORMSINV(R17),"")</f>
        <v/>
      </c>
      <c r="T17" s="66" t="e">
        <f aca="false">IFERROR(IF(P17&lt;=nGraded,MeanScore+SDScore*S17,NA()),NA())</f>
        <v>#N/A</v>
      </c>
      <c r="U17" s="66" t="str">
        <f aca="false">IFERROR(IF(P17&gt;nGraded,"",IF(P17=nGraded,$Z$19,IF(P17=nGraded-1,$Z$20,IF(P17=1,-$Z$19,IF(P17=2,-$Z$20,S17/SQRT($Z$21)))))),"")</f>
        <v/>
      </c>
      <c r="V17" s="66" t="str">
        <f aca="false">IFERROR(IF(P17&lt;=nGraded,U17*Q17,""),"")</f>
        <v/>
      </c>
      <c r="W17" s="66" t="str">
        <f aca="false">IFERROR(IF(P17&lt;=nGraded,(2*P17-1)*(LN(NORMDIST(Q17,MeanScore,SDScore,TRUE()))+LN(1-NORMDIST(LARGE(Totals,P17),MeanScore,SDScore,TRUE()))),""),"")</f>
        <v/>
      </c>
      <c r="Y17" s="67" t="s">
        <v>386</v>
      </c>
      <c r="Z17" s="68" t="str">
        <f aca="false">IFERROR(INDEX(S15:S66,nGraded)/SQRT(Z15),"")</f>
        <v/>
      </c>
      <c r="AB17" s="69" t="str">
        <f aca="false">IF('Quiz 2 Grades'!$Q9="Graded",'Quiz 2 Grades'!$M9,"")</f>
        <v/>
      </c>
      <c r="AC17" s="69" t="str">
        <f aca="false">IF('Quiz 2 Grades'!$Q9="Graded",'Quiz 2 Grades'!C9,"")</f>
        <v/>
      </c>
      <c r="AD17" s="69" t="str">
        <f aca="false">IF('Quiz 2 Grades'!$Q9="Graded",'Quiz 2 Grades'!D9,"")</f>
        <v/>
      </c>
      <c r="AE17" s="69" t="str">
        <f aca="false">IF('Quiz 2 Grades'!$Q9="Graded",'Quiz 2 Grades'!E9,"")</f>
        <v/>
      </c>
      <c r="AF17" s="69" t="str">
        <f aca="false">IF('Quiz 2 Grades'!$Q9="Graded",'Quiz 2 Grades'!F9,"")</f>
        <v/>
      </c>
      <c r="AG17" s="69" t="str">
        <f aca="false">IF('Quiz 2 Grades'!$Q9="Graded",'Quiz 2 Grades'!G9,"")</f>
        <v/>
      </c>
      <c r="AH17" s="69" t="str">
        <f aca="false">IF('Quiz 2 Grades'!$Q9="Graded",'Quiz 2 Grades'!I9,"")</f>
        <v/>
      </c>
      <c r="AI17" s="69" t="str">
        <f aca="false">IF('Quiz 2 Grades'!$Q9="Graded",'Quiz 2 Grades'!J9,"")</f>
        <v/>
      </c>
      <c r="AJ17" s="69" t="str">
        <f aca="false">IF('Quiz 2 Grades'!$Q9="Graded",'Quiz 2 Grades'!K9,"")</f>
        <v/>
      </c>
      <c r="AK17" s="69" t="str">
        <f aca="false">IF(ISNUMBER(AB17),AB17-AC17,"")</f>
        <v/>
      </c>
      <c r="AL17" s="69" t="str">
        <f aca="false">IF(ISNUMBER(AB17),AB17-AD17,"")</f>
        <v/>
      </c>
      <c r="AM17" s="69" t="str">
        <f aca="false">IF(ISNUMBER(AB17),AB17-AE17,"")</f>
        <v/>
      </c>
      <c r="AN17" s="69" t="str">
        <f aca="false">IF(ISNUMBER(AB17),AB17-AF17,"")</f>
        <v/>
      </c>
      <c r="AO17" s="69" t="str">
        <f aca="false">IF(ISNUMBER(AB17),AB17-AG17,"")</f>
        <v/>
      </c>
      <c r="AP17" s="69" t="str">
        <f aca="false">IF(ISNUMBER(AB17),AB17-AH17,"")</f>
        <v/>
      </c>
      <c r="AQ17" s="69" t="str">
        <f aca="false">IF(ISNUMBER(AB17),AB17-AI17,"")</f>
        <v/>
      </c>
      <c r="AR17" s="69" t="str">
        <f aca="false">IF(ISNUMBER(AB17),AB17-AJ17,"")</f>
        <v/>
      </c>
    </row>
    <row r="18" customFormat="false" ht="20.25" hidden="false" customHeight="true" outlineLevel="0" collapsed="false">
      <c r="A18" s="7" t="s">
        <v>387</v>
      </c>
      <c r="B18" s="70" t="str">
        <f aca="false">IFERROR(STDEV(Totals),"")</f>
        <v/>
      </c>
      <c r="C18" s="63" t="s">
        <v>388</v>
      </c>
      <c r="J18" s="7" t="s">
        <v>389</v>
      </c>
      <c r="K18" s="64" t="str">
        <f aca="false">IFERROR($Z$31,"")</f>
        <v/>
      </c>
      <c r="L18" s="64" t="n">
        <f aca="false">IFERROR(MIN(1,MAX(0,$Z$32)),"")</f>
        <v>0</v>
      </c>
      <c r="M18" s="12" t="str">
        <f aca="false">IF(ISNUMBER(L18),IF(L18&lt;Alpha,"Not normal (p &lt; α)","Consistent with normal"),"")</f>
        <v>Not normal (p &lt; α)</v>
      </c>
      <c r="N18" s="63" t="s">
        <v>390</v>
      </c>
      <c r="P18" s="65" t="n">
        <v>4</v>
      </c>
      <c r="Q18" s="65" t="e">
        <f aca="false">IF(P18&lt;=nGraded,SMALL(Totals,P18),NA())</f>
        <v>#N/A</v>
      </c>
      <c r="R18" s="66" t="str">
        <f aca="false">IF(P18&lt;=nGraded,(P18-0.375)/(nGraded+0.25),"")</f>
        <v/>
      </c>
      <c r="S18" s="66" t="str">
        <f aca="false">IF(P18&lt;=nGraded,NORMSINV(R18),"")</f>
        <v/>
      </c>
      <c r="T18" s="66" t="e">
        <f aca="false">IFERROR(IF(P18&lt;=nGraded,MeanScore+SDScore*S18,NA()),NA())</f>
        <v>#N/A</v>
      </c>
      <c r="U18" s="66" t="str">
        <f aca="false">IFERROR(IF(P18&gt;nGraded,"",IF(P18=nGraded,$Z$19,IF(P18=nGraded-1,$Z$20,IF(P18=1,-$Z$19,IF(P18=2,-$Z$20,S18/SQRT($Z$21)))))),"")</f>
        <v/>
      </c>
      <c r="V18" s="66" t="str">
        <f aca="false">IFERROR(IF(P18&lt;=nGraded,U18*Q18,""),"")</f>
        <v/>
      </c>
      <c r="W18" s="66" t="str">
        <f aca="false">IFERROR(IF(P18&lt;=nGraded,(2*P18-1)*(LN(NORMDIST(Q18,MeanScore,SDScore,TRUE()))+LN(1-NORMDIST(LARGE(Totals,P18),MeanScore,SDScore,TRUE()))),""),"")</f>
        <v/>
      </c>
      <c r="Y18" s="67" t="s">
        <v>391</v>
      </c>
      <c r="Z18" s="68" t="str">
        <f aca="false">IFERROR(INDEX(S15:S66,nGraded-1)/SQRT(Z15),"")</f>
        <v/>
      </c>
      <c r="AB18" s="69" t="str">
        <f aca="false">IF('Quiz 2 Grades'!$Q10="Graded",'Quiz 2 Grades'!$M10,"")</f>
        <v/>
      </c>
      <c r="AC18" s="69" t="str">
        <f aca="false">IF('Quiz 2 Grades'!$Q10="Graded",'Quiz 2 Grades'!C10,"")</f>
        <v/>
      </c>
      <c r="AD18" s="69" t="str">
        <f aca="false">IF('Quiz 2 Grades'!$Q10="Graded",'Quiz 2 Grades'!D10,"")</f>
        <v/>
      </c>
      <c r="AE18" s="69" t="str">
        <f aca="false">IF('Quiz 2 Grades'!$Q10="Graded",'Quiz 2 Grades'!E10,"")</f>
        <v/>
      </c>
      <c r="AF18" s="69" t="str">
        <f aca="false">IF('Quiz 2 Grades'!$Q10="Graded",'Quiz 2 Grades'!F10,"")</f>
        <v/>
      </c>
      <c r="AG18" s="69" t="str">
        <f aca="false">IF('Quiz 2 Grades'!$Q10="Graded",'Quiz 2 Grades'!G10,"")</f>
        <v/>
      </c>
      <c r="AH18" s="69" t="str">
        <f aca="false">IF('Quiz 2 Grades'!$Q10="Graded",'Quiz 2 Grades'!I10,"")</f>
        <v/>
      </c>
      <c r="AI18" s="69" t="str">
        <f aca="false">IF('Quiz 2 Grades'!$Q10="Graded",'Quiz 2 Grades'!J10,"")</f>
        <v/>
      </c>
      <c r="AJ18" s="69" t="str">
        <f aca="false">IF('Quiz 2 Grades'!$Q10="Graded",'Quiz 2 Grades'!K10,"")</f>
        <v/>
      </c>
      <c r="AK18" s="69" t="str">
        <f aca="false">IF(ISNUMBER(AB18),AB18-AC18,"")</f>
        <v/>
      </c>
      <c r="AL18" s="69" t="str">
        <f aca="false">IF(ISNUMBER(AB18),AB18-AD18,"")</f>
        <v/>
      </c>
      <c r="AM18" s="69" t="str">
        <f aca="false">IF(ISNUMBER(AB18),AB18-AE18,"")</f>
        <v/>
      </c>
      <c r="AN18" s="69" t="str">
        <f aca="false">IF(ISNUMBER(AB18),AB18-AF18,"")</f>
        <v/>
      </c>
      <c r="AO18" s="69" t="str">
        <f aca="false">IF(ISNUMBER(AB18),AB18-AG18,"")</f>
        <v/>
      </c>
      <c r="AP18" s="69" t="str">
        <f aca="false">IF(ISNUMBER(AB18),AB18-AH18,"")</f>
        <v/>
      </c>
      <c r="AQ18" s="69" t="str">
        <f aca="false">IF(ISNUMBER(AB18),AB18-AI18,"")</f>
        <v/>
      </c>
      <c r="AR18" s="69" t="str">
        <f aca="false">IF(ISNUMBER(AB18),AB18-AJ18,"")</f>
        <v/>
      </c>
    </row>
    <row r="19" customFormat="false" ht="20.25" hidden="false" customHeight="true" outlineLevel="0" collapsed="false">
      <c r="A19" s="7" t="s">
        <v>392</v>
      </c>
      <c r="B19" s="70" t="str">
        <f aca="false">IFERROR(VAR(Totals),"")</f>
        <v/>
      </c>
      <c r="C19" s="63"/>
      <c r="J19" s="71" t="s">
        <v>393</v>
      </c>
      <c r="K19" s="64" t="str">
        <f aca="false">IF(nGraded&lt;12,"n &lt; 12",IFERROR($Z$24,""))</f>
        <v>n &lt; 12</v>
      </c>
      <c r="L19" s="64" t="str">
        <f aca="false">IF(nGraded&lt;12,"",IFERROR($Z$29,""))</f>
        <v/>
      </c>
      <c r="M19" s="12" t="str">
        <f aca="false">IF(ISNUMBER(L19),IF(L19&lt;Alpha,"Not normal (p &lt; α)","Consistent with normal"),"")</f>
        <v/>
      </c>
      <c r="N19" s="63" t="s">
        <v>394</v>
      </c>
      <c r="P19" s="65" t="n">
        <v>5</v>
      </c>
      <c r="Q19" s="65" t="e">
        <f aca="false">IF(P19&lt;=nGraded,SMALL(Totals,P19),NA())</f>
        <v>#N/A</v>
      </c>
      <c r="R19" s="66" t="str">
        <f aca="false">IF(P19&lt;=nGraded,(P19-0.375)/(nGraded+0.25),"")</f>
        <v/>
      </c>
      <c r="S19" s="66" t="str">
        <f aca="false">IF(P19&lt;=nGraded,NORMSINV(R19),"")</f>
        <v/>
      </c>
      <c r="T19" s="66" t="e">
        <f aca="false">IFERROR(IF(P19&lt;=nGraded,MeanScore+SDScore*S19,NA()),NA())</f>
        <v>#N/A</v>
      </c>
      <c r="U19" s="66" t="str">
        <f aca="false">IFERROR(IF(P19&gt;nGraded,"",IF(P19=nGraded,$Z$19,IF(P19=nGraded-1,$Z$20,IF(P19=1,-$Z$19,IF(P19=2,-$Z$20,S19/SQRT($Z$21)))))),"")</f>
        <v/>
      </c>
      <c r="V19" s="66" t="str">
        <f aca="false">IFERROR(IF(P19&lt;=nGraded,U19*Q19,""),"")</f>
        <v/>
      </c>
      <c r="W19" s="66" t="str">
        <f aca="false">IFERROR(IF(P19&lt;=nGraded,(2*P19-1)*(LN(NORMDIST(Q19,MeanScore,SDScore,TRUE()))+LN(1-NORMDIST(LARGE(Totals,P19),MeanScore,SDScore,TRUE()))),""),"")</f>
        <v/>
      </c>
      <c r="Y19" s="67" t="s">
        <v>395</v>
      </c>
      <c r="Z19" s="68" t="str">
        <f aca="false">IFERROR(Z17+0.221157*Z16-0.147981*Z16^2-2.07119*Z16^3+4.434685*Z16^4-2.706056*Z16^5,"")</f>
        <v/>
      </c>
      <c r="AB19" s="69" t="str">
        <f aca="false">IF('Quiz 2 Grades'!$Q11="Graded",'Quiz 2 Grades'!$M11,"")</f>
        <v/>
      </c>
      <c r="AC19" s="69" t="str">
        <f aca="false">IF('Quiz 2 Grades'!$Q11="Graded",'Quiz 2 Grades'!C11,"")</f>
        <v/>
      </c>
      <c r="AD19" s="69" t="str">
        <f aca="false">IF('Quiz 2 Grades'!$Q11="Graded",'Quiz 2 Grades'!D11,"")</f>
        <v/>
      </c>
      <c r="AE19" s="69" t="str">
        <f aca="false">IF('Quiz 2 Grades'!$Q11="Graded",'Quiz 2 Grades'!E11,"")</f>
        <v/>
      </c>
      <c r="AF19" s="69" t="str">
        <f aca="false">IF('Quiz 2 Grades'!$Q11="Graded",'Quiz 2 Grades'!F11,"")</f>
        <v/>
      </c>
      <c r="AG19" s="69" t="str">
        <f aca="false">IF('Quiz 2 Grades'!$Q11="Graded",'Quiz 2 Grades'!G11,"")</f>
        <v/>
      </c>
      <c r="AH19" s="69" t="str">
        <f aca="false">IF('Quiz 2 Grades'!$Q11="Graded",'Quiz 2 Grades'!I11,"")</f>
        <v/>
      </c>
      <c r="AI19" s="69" t="str">
        <f aca="false">IF('Quiz 2 Grades'!$Q11="Graded",'Quiz 2 Grades'!J11,"")</f>
        <v/>
      </c>
      <c r="AJ19" s="69" t="str">
        <f aca="false">IF('Quiz 2 Grades'!$Q11="Graded",'Quiz 2 Grades'!K11,"")</f>
        <v/>
      </c>
      <c r="AK19" s="69" t="str">
        <f aca="false">IF(ISNUMBER(AB19),AB19-AC19,"")</f>
        <v/>
      </c>
      <c r="AL19" s="69" t="str">
        <f aca="false">IF(ISNUMBER(AB19),AB19-AD19,"")</f>
        <v/>
      </c>
      <c r="AM19" s="69" t="str">
        <f aca="false">IF(ISNUMBER(AB19),AB19-AE19,"")</f>
        <v/>
      </c>
      <c r="AN19" s="69" t="str">
        <f aca="false">IF(ISNUMBER(AB19),AB19-AF19,"")</f>
        <v/>
      </c>
      <c r="AO19" s="69" t="str">
        <f aca="false">IF(ISNUMBER(AB19),AB19-AG19,"")</f>
        <v/>
      </c>
      <c r="AP19" s="69" t="str">
        <f aca="false">IF(ISNUMBER(AB19),AB19-AH19,"")</f>
        <v/>
      </c>
      <c r="AQ19" s="69" t="str">
        <f aca="false">IF(ISNUMBER(AB19),AB19-AI19,"")</f>
        <v/>
      </c>
      <c r="AR19" s="69" t="str">
        <f aca="false">IF(ISNUMBER(AB19),AB19-AJ19,"")</f>
        <v/>
      </c>
    </row>
    <row r="20" customFormat="false" ht="14.25" hidden="false" customHeight="false" outlineLevel="0" collapsed="false">
      <c r="A20" s="7" t="s">
        <v>396</v>
      </c>
      <c r="B20" s="70" t="str">
        <f aca="false">IFERROR(B18/SQRT(B15),"")</f>
        <v/>
      </c>
      <c r="C20" s="63" t="s">
        <v>397</v>
      </c>
      <c r="J20" s="72" t="str">
        <f aca="false">IF(nGraded&lt;12,"Need at least 12 graded quizzes for the normality tests.",IF(COUNTIF(M18:M19,"Not normal*")=2,"Overall: NOT Gaussian — Shapiro–Wilk and Anderson–Darling (the most powerful tests at this sample size) both reject normality."&amp;IF(COUNTIF(M15:M17,"Not normal*")=0," The skewness / kurtosis tests alone do not reject, so the departure is moderate, not extreme.",""),IF(COUNTIF(M18:M19,"Not normal*")=0,"Overall: consistent with a Gaussian distribution — neither Shapiro–Wilk nor Anderson–Darling rejects normality."&amp;IF(COUNTIF(M15:M17,"Not normal*")&gt;0," (Some moment tests flag skewness/kurtosis; treat as a mild departure.)",""),"Overall: borderline — Shapiro–Wilk and Anderson–Darling disagree; treat the Gaussian curve as a rough approximation.")))</f>
        <v>Need at least 12 graded quizzes for the normality tests.</v>
      </c>
      <c r="K20" s="72"/>
      <c r="L20" s="72"/>
      <c r="M20" s="72"/>
      <c r="N20" s="72"/>
      <c r="P20" s="65" t="n">
        <v>6</v>
      </c>
      <c r="Q20" s="65" t="e">
        <f aca="false">IF(P20&lt;=nGraded,SMALL(Totals,P20),NA())</f>
        <v>#N/A</v>
      </c>
      <c r="R20" s="66" t="str">
        <f aca="false">IF(P20&lt;=nGraded,(P20-0.375)/(nGraded+0.25),"")</f>
        <v/>
      </c>
      <c r="S20" s="66" t="str">
        <f aca="false">IF(P20&lt;=nGraded,NORMSINV(R20),"")</f>
        <v/>
      </c>
      <c r="T20" s="66" t="e">
        <f aca="false">IFERROR(IF(P20&lt;=nGraded,MeanScore+SDScore*S20,NA()),NA())</f>
        <v>#N/A</v>
      </c>
      <c r="U20" s="66" t="str">
        <f aca="false">IFERROR(IF(P20&gt;nGraded,"",IF(P20=nGraded,$Z$19,IF(P20=nGraded-1,$Z$20,IF(P20=1,-$Z$19,IF(P20=2,-$Z$20,S20/SQRT($Z$21)))))),"")</f>
        <v/>
      </c>
      <c r="V20" s="66" t="str">
        <f aca="false">IFERROR(IF(P20&lt;=nGraded,U20*Q20,""),"")</f>
        <v/>
      </c>
      <c r="W20" s="66" t="str">
        <f aca="false">IFERROR(IF(P20&lt;=nGraded,(2*P20-1)*(LN(NORMDIST(Q20,MeanScore,SDScore,TRUE()))+LN(1-NORMDIST(LARGE(Totals,P20),MeanScore,SDScore,TRUE()))),""),"")</f>
        <v/>
      </c>
      <c r="Y20" s="67" t="s">
        <v>398</v>
      </c>
      <c r="Z20" s="68" t="str">
        <f aca="false">IFERROR(Z18+0.042981*Z16-0.293762*Z16^2-1.752461*Z16^3+5.682633*Z16^4-3.582633*Z16^5,"")</f>
        <v/>
      </c>
      <c r="AB20" s="69" t="str">
        <f aca="false">IF('Quiz 2 Grades'!$Q12="Graded",'Quiz 2 Grades'!$M12,"")</f>
        <v/>
      </c>
      <c r="AC20" s="69" t="str">
        <f aca="false">IF('Quiz 2 Grades'!$Q12="Graded",'Quiz 2 Grades'!C12,"")</f>
        <v/>
      </c>
      <c r="AD20" s="69" t="str">
        <f aca="false">IF('Quiz 2 Grades'!$Q12="Graded",'Quiz 2 Grades'!D12,"")</f>
        <v/>
      </c>
      <c r="AE20" s="69" t="str">
        <f aca="false">IF('Quiz 2 Grades'!$Q12="Graded",'Quiz 2 Grades'!E12,"")</f>
        <v/>
      </c>
      <c r="AF20" s="69" t="str">
        <f aca="false">IF('Quiz 2 Grades'!$Q12="Graded",'Quiz 2 Grades'!F12,"")</f>
        <v/>
      </c>
      <c r="AG20" s="69" t="str">
        <f aca="false">IF('Quiz 2 Grades'!$Q12="Graded",'Quiz 2 Grades'!G12,"")</f>
        <v/>
      </c>
      <c r="AH20" s="69" t="str">
        <f aca="false">IF('Quiz 2 Grades'!$Q12="Graded",'Quiz 2 Grades'!I12,"")</f>
        <v/>
      </c>
      <c r="AI20" s="69" t="str">
        <f aca="false">IF('Quiz 2 Grades'!$Q12="Graded",'Quiz 2 Grades'!J12,"")</f>
        <v/>
      </c>
      <c r="AJ20" s="69" t="str">
        <f aca="false">IF('Quiz 2 Grades'!$Q12="Graded",'Quiz 2 Grades'!K12,"")</f>
        <v/>
      </c>
      <c r="AK20" s="69" t="str">
        <f aca="false">IF(ISNUMBER(AB20),AB20-AC20,"")</f>
        <v/>
      </c>
      <c r="AL20" s="69" t="str">
        <f aca="false">IF(ISNUMBER(AB20),AB20-AD20,"")</f>
        <v/>
      </c>
      <c r="AM20" s="69" t="str">
        <f aca="false">IF(ISNUMBER(AB20),AB20-AE20,"")</f>
        <v/>
      </c>
      <c r="AN20" s="69" t="str">
        <f aca="false">IF(ISNUMBER(AB20),AB20-AF20,"")</f>
        <v/>
      </c>
      <c r="AO20" s="69" t="str">
        <f aca="false">IF(ISNUMBER(AB20),AB20-AG20,"")</f>
        <v/>
      </c>
      <c r="AP20" s="69" t="str">
        <f aca="false">IF(ISNUMBER(AB20),AB20-AH20,"")</f>
        <v/>
      </c>
      <c r="AQ20" s="69" t="str">
        <f aca="false">IF(ISNUMBER(AB20),AB20-AI20,"")</f>
        <v/>
      </c>
      <c r="AR20" s="69" t="str">
        <f aca="false">IF(ISNUMBER(AB20),AB20-AJ20,"")</f>
        <v/>
      </c>
    </row>
    <row r="21" customFormat="false" ht="14.25" hidden="false" customHeight="false" outlineLevel="0" collapsed="false">
      <c r="A21" s="7" t="str">
        <f aca="false">TEXT($B$35,"0%")&amp;" CI for the mean — lower"</f>
        <v>95% CI for the mean — lower</v>
      </c>
      <c r="B21" s="70" t="str">
        <f aca="false">IFERROR(B16-TINV(1-$B$35,B15-1)*B20,"")</f>
        <v/>
      </c>
      <c r="C21" s="63" t="s">
        <v>399</v>
      </c>
      <c r="J21" s="72"/>
      <c r="K21" s="72"/>
      <c r="L21" s="72"/>
      <c r="M21" s="72"/>
      <c r="N21" s="72"/>
      <c r="P21" s="65" t="n">
        <v>7</v>
      </c>
      <c r="Q21" s="65" t="e">
        <f aca="false">IF(P21&lt;=nGraded,SMALL(Totals,P21),NA())</f>
        <v>#N/A</v>
      </c>
      <c r="R21" s="66" t="str">
        <f aca="false">IF(P21&lt;=nGraded,(P21-0.375)/(nGraded+0.25),"")</f>
        <v/>
      </c>
      <c r="S21" s="66" t="str">
        <f aca="false">IF(P21&lt;=nGraded,NORMSINV(R21),"")</f>
        <v/>
      </c>
      <c r="T21" s="66" t="e">
        <f aca="false">IFERROR(IF(P21&lt;=nGraded,MeanScore+SDScore*S21,NA()),NA())</f>
        <v>#N/A</v>
      </c>
      <c r="U21" s="66" t="str">
        <f aca="false">IFERROR(IF(P21&gt;nGraded,"",IF(P21=nGraded,$Z$19,IF(P21=nGraded-1,$Z$20,IF(P21=1,-$Z$19,IF(P21=2,-$Z$20,S21/SQRT($Z$21)))))),"")</f>
        <v/>
      </c>
      <c r="V21" s="66" t="str">
        <f aca="false">IFERROR(IF(P21&lt;=nGraded,U21*Q21,""),"")</f>
        <v/>
      </c>
      <c r="W21" s="66" t="str">
        <f aca="false">IFERROR(IF(P21&lt;=nGraded,(2*P21-1)*(LN(NORMDIST(Q21,MeanScore,SDScore,TRUE()))+LN(1-NORMDIST(LARGE(Totals,P21),MeanScore,SDScore,TRUE()))),""),"")</f>
        <v/>
      </c>
      <c r="Y21" s="67" t="s">
        <v>400</v>
      </c>
      <c r="Z21" s="68" t="str">
        <f aca="false">IFERROR((Z15-2*INDEX(S15:S66,nGraded)^2-2*INDEX(S15:S66,nGraded-1)^2)/(1-2*Z19^2-2*Z20^2),"")</f>
        <v/>
      </c>
      <c r="AB21" s="69" t="str">
        <f aca="false">IF('Quiz 2 Grades'!$Q13="Graded",'Quiz 2 Grades'!$M13,"")</f>
        <v/>
      </c>
      <c r="AC21" s="69" t="str">
        <f aca="false">IF('Quiz 2 Grades'!$Q13="Graded",'Quiz 2 Grades'!C13,"")</f>
        <v/>
      </c>
      <c r="AD21" s="69" t="str">
        <f aca="false">IF('Quiz 2 Grades'!$Q13="Graded",'Quiz 2 Grades'!D13,"")</f>
        <v/>
      </c>
      <c r="AE21" s="69" t="str">
        <f aca="false">IF('Quiz 2 Grades'!$Q13="Graded",'Quiz 2 Grades'!E13,"")</f>
        <v/>
      </c>
      <c r="AF21" s="69" t="str">
        <f aca="false">IF('Quiz 2 Grades'!$Q13="Graded",'Quiz 2 Grades'!F13,"")</f>
        <v/>
      </c>
      <c r="AG21" s="69" t="str">
        <f aca="false">IF('Quiz 2 Grades'!$Q13="Graded",'Quiz 2 Grades'!G13,"")</f>
        <v/>
      </c>
      <c r="AH21" s="69" t="str">
        <f aca="false">IF('Quiz 2 Grades'!$Q13="Graded",'Quiz 2 Grades'!I13,"")</f>
        <v/>
      </c>
      <c r="AI21" s="69" t="str">
        <f aca="false">IF('Quiz 2 Grades'!$Q13="Graded",'Quiz 2 Grades'!J13,"")</f>
        <v/>
      </c>
      <c r="AJ21" s="69" t="str">
        <f aca="false">IF('Quiz 2 Grades'!$Q13="Graded",'Quiz 2 Grades'!K13,"")</f>
        <v/>
      </c>
      <c r="AK21" s="69" t="str">
        <f aca="false">IF(ISNUMBER(AB21),AB21-AC21,"")</f>
        <v/>
      </c>
      <c r="AL21" s="69" t="str">
        <f aca="false">IF(ISNUMBER(AB21),AB21-AD21,"")</f>
        <v/>
      </c>
      <c r="AM21" s="69" t="str">
        <f aca="false">IF(ISNUMBER(AB21),AB21-AE21,"")</f>
        <v/>
      </c>
      <c r="AN21" s="69" t="str">
        <f aca="false">IF(ISNUMBER(AB21),AB21-AF21,"")</f>
        <v/>
      </c>
      <c r="AO21" s="69" t="str">
        <f aca="false">IF(ISNUMBER(AB21),AB21-AG21,"")</f>
        <v/>
      </c>
      <c r="AP21" s="69" t="str">
        <f aca="false">IF(ISNUMBER(AB21),AB21-AH21,"")</f>
        <v/>
      </c>
      <c r="AQ21" s="69" t="str">
        <f aca="false">IF(ISNUMBER(AB21),AB21-AI21,"")</f>
        <v/>
      </c>
      <c r="AR21" s="69" t="str">
        <f aca="false">IF(ISNUMBER(AB21),AB21-AJ21,"")</f>
        <v/>
      </c>
    </row>
    <row r="22" customFormat="false" ht="21.75" hidden="false" customHeight="true" outlineLevel="0" collapsed="false">
      <c r="A22" s="7" t="str">
        <f aca="false">TEXT($B$35,"0%")&amp;" CI for the mean — upper"</f>
        <v>95% CI for the mean — upper</v>
      </c>
      <c r="B22" s="70" t="str">
        <f aca="false">IFERROR(B16+TINV(1-$B$35,B15-1)*B20,"")</f>
        <v/>
      </c>
      <c r="C22" s="63"/>
      <c r="J22" s="3" t="s">
        <v>401</v>
      </c>
      <c r="K22" s="3"/>
      <c r="L22" s="3"/>
      <c r="M22" s="3"/>
      <c r="N22" s="3"/>
      <c r="P22" s="65" t="n">
        <v>8</v>
      </c>
      <c r="Q22" s="65" t="e">
        <f aca="false">IF(P22&lt;=nGraded,SMALL(Totals,P22),NA())</f>
        <v>#N/A</v>
      </c>
      <c r="R22" s="66" t="str">
        <f aca="false">IF(P22&lt;=nGraded,(P22-0.375)/(nGraded+0.25),"")</f>
        <v/>
      </c>
      <c r="S22" s="66" t="str">
        <f aca="false">IF(P22&lt;=nGraded,NORMSINV(R22),"")</f>
        <v/>
      </c>
      <c r="T22" s="66" t="e">
        <f aca="false">IFERROR(IF(P22&lt;=nGraded,MeanScore+SDScore*S22,NA()),NA())</f>
        <v>#N/A</v>
      </c>
      <c r="U22" s="66" t="str">
        <f aca="false">IFERROR(IF(P22&gt;nGraded,"",IF(P22=nGraded,$Z$19,IF(P22=nGraded-1,$Z$20,IF(P22=1,-$Z$19,IF(P22=2,-$Z$20,S22/SQRT($Z$21)))))),"")</f>
        <v/>
      </c>
      <c r="V22" s="66" t="str">
        <f aca="false">IFERROR(IF(P22&lt;=nGraded,U22*Q22,""),"")</f>
        <v/>
      </c>
      <c r="W22" s="66" t="str">
        <f aca="false">IFERROR(IF(P22&lt;=nGraded,(2*P22-1)*(LN(NORMDIST(Q22,MeanScore,SDScore,TRUE()))+LN(1-NORMDIST(LARGE(Totals,P22),MeanScore,SDScore,TRUE()))),""),"")</f>
        <v/>
      </c>
      <c r="Y22" s="67" t="s">
        <v>402</v>
      </c>
      <c r="Z22" s="68" t="n">
        <f aca="false">IFERROR(SUM(V15:V66),"")</f>
        <v>0</v>
      </c>
      <c r="AB22" s="69" t="str">
        <f aca="false">IF('Quiz 2 Grades'!$Q14="Graded",'Quiz 2 Grades'!$M14,"")</f>
        <v/>
      </c>
      <c r="AC22" s="69" t="str">
        <f aca="false">IF('Quiz 2 Grades'!$Q14="Graded",'Quiz 2 Grades'!C14,"")</f>
        <v/>
      </c>
      <c r="AD22" s="69" t="str">
        <f aca="false">IF('Quiz 2 Grades'!$Q14="Graded",'Quiz 2 Grades'!D14,"")</f>
        <v/>
      </c>
      <c r="AE22" s="69" t="str">
        <f aca="false">IF('Quiz 2 Grades'!$Q14="Graded",'Quiz 2 Grades'!E14,"")</f>
        <v/>
      </c>
      <c r="AF22" s="69" t="str">
        <f aca="false">IF('Quiz 2 Grades'!$Q14="Graded",'Quiz 2 Grades'!F14,"")</f>
        <v/>
      </c>
      <c r="AG22" s="69" t="str">
        <f aca="false">IF('Quiz 2 Grades'!$Q14="Graded",'Quiz 2 Grades'!G14,"")</f>
        <v/>
      </c>
      <c r="AH22" s="69" t="str">
        <f aca="false">IF('Quiz 2 Grades'!$Q14="Graded",'Quiz 2 Grades'!I14,"")</f>
        <v/>
      </c>
      <c r="AI22" s="69" t="str">
        <f aca="false">IF('Quiz 2 Grades'!$Q14="Graded",'Quiz 2 Grades'!J14,"")</f>
        <v/>
      </c>
      <c r="AJ22" s="69" t="str">
        <f aca="false">IF('Quiz 2 Grades'!$Q14="Graded",'Quiz 2 Grades'!K14,"")</f>
        <v/>
      </c>
      <c r="AK22" s="69" t="str">
        <f aca="false">IF(ISNUMBER(AB22),AB22-AC22,"")</f>
        <v/>
      </c>
      <c r="AL22" s="69" t="str">
        <f aca="false">IF(ISNUMBER(AB22),AB22-AD22,"")</f>
        <v/>
      </c>
      <c r="AM22" s="69" t="str">
        <f aca="false">IF(ISNUMBER(AB22),AB22-AE22,"")</f>
        <v/>
      </c>
      <c r="AN22" s="69" t="str">
        <f aca="false">IF(ISNUMBER(AB22),AB22-AF22,"")</f>
        <v/>
      </c>
      <c r="AO22" s="69" t="str">
        <f aca="false">IF(ISNUMBER(AB22),AB22-AG22,"")</f>
        <v/>
      </c>
      <c r="AP22" s="69" t="str">
        <f aca="false">IF(ISNUMBER(AB22),AB22-AH22,"")</f>
        <v/>
      </c>
      <c r="AQ22" s="69" t="str">
        <f aca="false">IF(ISNUMBER(AB22),AB22-AI22,"")</f>
        <v/>
      </c>
      <c r="AR22" s="69" t="str">
        <f aca="false">IF(ISNUMBER(AB22),AB22-AJ22,"")</f>
        <v/>
      </c>
    </row>
    <row r="23" customFormat="false" ht="30" hidden="false" customHeight="true" outlineLevel="0" collapsed="false">
      <c r="A23" s="7" t="s">
        <v>403</v>
      </c>
      <c r="B23" s="18" t="n">
        <f aca="false">IFERROR(MIN(Totals),"")</f>
        <v>0</v>
      </c>
      <c r="C23" s="63"/>
      <c r="J23" s="11" t="s">
        <v>404</v>
      </c>
      <c r="K23" s="11" t="s">
        <v>337</v>
      </c>
      <c r="L23" s="11" t="s">
        <v>405</v>
      </c>
      <c r="M23" s="11" t="s">
        <v>406</v>
      </c>
      <c r="N23" s="11" t="s">
        <v>407</v>
      </c>
      <c r="P23" s="65" t="n">
        <v>9</v>
      </c>
      <c r="Q23" s="65" t="e">
        <f aca="false">IF(P23&lt;=nGraded,SMALL(Totals,P23),NA())</f>
        <v>#N/A</v>
      </c>
      <c r="R23" s="66" t="str">
        <f aca="false">IF(P23&lt;=nGraded,(P23-0.375)/(nGraded+0.25),"")</f>
        <v/>
      </c>
      <c r="S23" s="66" t="str">
        <f aca="false">IF(P23&lt;=nGraded,NORMSINV(R23),"")</f>
        <v/>
      </c>
      <c r="T23" s="66" t="e">
        <f aca="false">IFERROR(IF(P23&lt;=nGraded,MeanScore+SDScore*S23,NA()),NA())</f>
        <v>#N/A</v>
      </c>
      <c r="U23" s="66" t="str">
        <f aca="false">IFERROR(IF(P23&gt;nGraded,"",IF(P23=nGraded,$Z$19,IF(P23=nGraded-1,$Z$20,IF(P23=1,-$Z$19,IF(P23=2,-$Z$20,S23/SQRT($Z$21)))))),"")</f>
        <v/>
      </c>
      <c r="V23" s="66" t="str">
        <f aca="false">IFERROR(IF(P23&lt;=nGraded,U23*Q23,""),"")</f>
        <v/>
      </c>
      <c r="W23" s="66" t="str">
        <f aca="false">IFERROR(IF(P23&lt;=nGraded,(2*P23-1)*(LN(NORMDIST(Q23,MeanScore,SDScore,TRUE()))+LN(1-NORMDIST(LARGE(Totals,P23),MeanScore,SDScore,TRUE()))),""),"")</f>
        <v/>
      </c>
      <c r="Y23" s="67" t="s">
        <v>408</v>
      </c>
      <c r="Z23" s="68" t="str">
        <f aca="false">IFERROR(DEVSQ(Totals),"")</f>
        <v/>
      </c>
      <c r="AB23" s="69" t="str">
        <f aca="false">IF('Quiz 2 Grades'!$Q15="Graded",'Quiz 2 Grades'!$M15,"")</f>
        <v/>
      </c>
      <c r="AC23" s="69" t="str">
        <f aca="false">IF('Quiz 2 Grades'!$Q15="Graded",'Quiz 2 Grades'!C15,"")</f>
        <v/>
      </c>
      <c r="AD23" s="69" t="str">
        <f aca="false">IF('Quiz 2 Grades'!$Q15="Graded",'Quiz 2 Grades'!D15,"")</f>
        <v/>
      </c>
      <c r="AE23" s="69" t="str">
        <f aca="false">IF('Quiz 2 Grades'!$Q15="Graded",'Quiz 2 Grades'!E15,"")</f>
        <v/>
      </c>
      <c r="AF23" s="69" t="str">
        <f aca="false">IF('Quiz 2 Grades'!$Q15="Graded",'Quiz 2 Grades'!F15,"")</f>
        <v/>
      </c>
      <c r="AG23" s="69" t="str">
        <f aca="false">IF('Quiz 2 Grades'!$Q15="Graded",'Quiz 2 Grades'!G15,"")</f>
        <v/>
      </c>
      <c r="AH23" s="69" t="str">
        <f aca="false">IF('Quiz 2 Grades'!$Q15="Graded",'Quiz 2 Grades'!I15,"")</f>
        <v/>
      </c>
      <c r="AI23" s="69" t="str">
        <f aca="false">IF('Quiz 2 Grades'!$Q15="Graded",'Quiz 2 Grades'!J15,"")</f>
        <v/>
      </c>
      <c r="AJ23" s="69" t="str">
        <f aca="false">IF('Quiz 2 Grades'!$Q15="Graded",'Quiz 2 Grades'!K15,"")</f>
        <v/>
      </c>
      <c r="AK23" s="69" t="str">
        <f aca="false">IF(ISNUMBER(AB23),AB23-AC23,"")</f>
        <v/>
      </c>
      <c r="AL23" s="69" t="str">
        <f aca="false">IF(ISNUMBER(AB23),AB23-AD23,"")</f>
        <v/>
      </c>
      <c r="AM23" s="69" t="str">
        <f aca="false">IF(ISNUMBER(AB23),AB23-AE23,"")</f>
        <v/>
      </c>
      <c r="AN23" s="69" t="str">
        <f aca="false">IF(ISNUMBER(AB23),AB23-AF23,"")</f>
        <v/>
      </c>
      <c r="AO23" s="69" t="str">
        <f aca="false">IF(ISNUMBER(AB23),AB23-AG23,"")</f>
        <v/>
      </c>
      <c r="AP23" s="69" t="str">
        <f aca="false">IF(ISNUMBER(AB23),AB23-AH23,"")</f>
        <v/>
      </c>
      <c r="AQ23" s="69" t="str">
        <f aca="false">IF(ISNUMBER(AB23),AB23-AI23,"")</f>
        <v/>
      </c>
      <c r="AR23" s="69" t="str">
        <f aca="false">IF(ISNUMBER(AB23),AB23-AJ23,"")</f>
        <v/>
      </c>
    </row>
    <row r="24" customFormat="false" ht="20.25" hidden="false" customHeight="true" outlineLevel="0" collapsed="false">
      <c r="A24" s="7" t="s">
        <v>409</v>
      </c>
      <c r="B24" s="56" t="str">
        <f aca="false">IFERROR(QUARTILE(Totals,1),"")</f>
        <v/>
      </c>
      <c r="C24" s="63" t="s">
        <v>410</v>
      </c>
      <c r="J24" s="7" t="s">
        <v>411</v>
      </c>
      <c r="K24" s="17" t="str">
        <f aca="false">IFERROR(TEXT(MeanScore-1*SDScore,"0.0")&amp;" – "&amp;TEXT(MeanScore+1*SDScore,"0.0"),"")</f>
        <v/>
      </c>
      <c r="L24" s="73" t="n">
        <f aca="false">1-2*(1-NORMSDIST(1))</f>
        <v>0.682689492137086</v>
      </c>
      <c r="M24" s="18" t="str">
        <f aca="false">IFERROR(COUNTIFS(Totals,"&gt;="&amp;(MeanScore-1*SDScore),Totals,"&lt;="&amp;(MeanScore+1*SDScore)),"")</f>
        <v/>
      </c>
      <c r="N24" s="57" t="str">
        <f aca="false">IFERROR(M24/nGraded,"")</f>
        <v/>
      </c>
      <c r="P24" s="65" t="n">
        <v>10</v>
      </c>
      <c r="Q24" s="65" t="e">
        <f aca="false">IF(P24&lt;=nGraded,SMALL(Totals,P24),NA())</f>
        <v>#N/A</v>
      </c>
      <c r="R24" s="66" t="str">
        <f aca="false">IF(P24&lt;=nGraded,(P24-0.375)/(nGraded+0.25),"")</f>
        <v/>
      </c>
      <c r="S24" s="66" t="str">
        <f aca="false">IF(P24&lt;=nGraded,NORMSINV(R24),"")</f>
        <v/>
      </c>
      <c r="T24" s="66" t="e">
        <f aca="false">IFERROR(IF(P24&lt;=nGraded,MeanScore+SDScore*S24,NA()),NA())</f>
        <v>#N/A</v>
      </c>
      <c r="U24" s="66" t="str">
        <f aca="false">IFERROR(IF(P24&gt;nGraded,"",IF(P24=nGraded,$Z$19,IF(P24=nGraded-1,$Z$20,IF(P24=1,-$Z$19,IF(P24=2,-$Z$20,S24/SQRT($Z$21)))))),"")</f>
        <v/>
      </c>
      <c r="V24" s="66" t="str">
        <f aca="false">IFERROR(IF(P24&lt;=nGraded,U24*Q24,""),"")</f>
        <v/>
      </c>
      <c r="W24" s="66" t="str">
        <f aca="false">IFERROR(IF(P24&lt;=nGraded,(2*P24-1)*(LN(NORMDIST(Q24,MeanScore,SDScore,TRUE()))+LN(1-NORMDIST(LARGE(Totals,P24),MeanScore,SDScore,TRUE()))),""),"")</f>
        <v/>
      </c>
      <c r="Y24" s="67" t="s">
        <v>412</v>
      </c>
      <c r="Z24" s="68" t="str">
        <f aca="false">IFERROR(Z22^2/Z23,"")</f>
        <v/>
      </c>
      <c r="AB24" s="69" t="str">
        <f aca="false">IF('Quiz 2 Grades'!$Q16="Graded",'Quiz 2 Grades'!$M16,"")</f>
        <v/>
      </c>
      <c r="AC24" s="69" t="str">
        <f aca="false">IF('Quiz 2 Grades'!$Q16="Graded",'Quiz 2 Grades'!C16,"")</f>
        <v/>
      </c>
      <c r="AD24" s="69" t="str">
        <f aca="false">IF('Quiz 2 Grades'!$Q16="Graded",'Quiz 2 Grades'!D16,"")</f>
        <v/>
      </c>
      <c r="AE24" s="69" t="str">
        <f aca="false">IF('Quiz 2 Grades'!$Q16="Graded",'Quiz 2 Grades'!E16,"")</f>
        <v/>
      </c>
      <c r="AF24" s="69" t="str">
        <f aca="false">IF('Quiz 2 Grades'!$Q16="Graded",'Quiz 2 Grades'!F16,"")</f>
        <v/>
      </c>
      <c r="AG24" s="69" t="str">
        <f aca="false">IF('Quiz 2 Grades'!$Q16="Graded",'Quiz 2 Grades'!G16,"")</f>
        <v/>
      </c>
      <c r="AH24" s="69" t="str">
        <f aca="false">IF('Quiz 2 Grades'!$Q16="Graded",'Quiz 2 Grades'!I16,"")</f>
        <v/>
      </c>
      <c r="AI24" s="69" t="str">
        <f aca="false">IF('Quiz 2 Grades'!$Q16="Graded",'Quiz 2 Grades'!J16,"")</f>
        <v/>
      </c>
      <c r="AJ24" s="69" t="str">
        <f aca="false">IF('Quiz 2 Grades'!$Q16="Graded",'Quiz 2 Grades'!K16,"")</f>
        <v/>
      </c>
      <c r="AK24" s="69" t="str">
        <f aca="false">IF(ISNUMBER(AB24),AB24-AC24,"")</f>
        <v/>
      </c>
      <c r="AL24" s="69" t="str">
        <f aca="false">IF(ISNUMBER(AB24),AB24-AD24,"")</f>
        <v/>
      </c>
      <c r="AM24" s="69" t="str">
        <f aca="false">IF(ISNUMBER(AB24),AB24-AE24,"")</f>
        <v/>
      </c>
      <c r="AN24" s="69" t="str">
        <f aca="false">IF(ISNUMBER(AB24),AB24-AF24,"")</f>
        <v/>
      </c>
      <c r="AO24" s="69" t="str">
        <f aca="false">IF(ISNUMBER(AB24),AB24-AG24,"")</f>
        <v/>
      </c>
      <c r="AP24" s="69" t="str">
        <f aca="false">IF(ISNUMBER(AB24),AB24-AH24,"")</f>
        <v/>
      </c>
      <c r="AQ24" s="69" t="str">
        <f aca="false">IF(ISNUMBER(AB24),AB24-AI24,"")</f>
        <v/>
      </c>
      <c r="AR24" s="69" t="str">
        <f aca="false">IF(ISNUMBER(AB24),AB24-AJ24,"")</f>
        <v/>
      </c>
    </row>
    <row r="25" customFormat="false" ht="20.25" hidden="false" customHeight="true" outlineLevel="0" collapsed="false">
      <c r="A25" s="7" t="s">
        <v>413</v>
      </c>
      <c r="B25" s="56" t="str">
        <f aca="false">IFERROR(QUARTILE(Totals,3),"")</f>
        <v/>
      </c>
      <c r="C25" s="63" t="s">
        <v>414</v>
      </c>
      <c r="J25" s="7" t="s">
        <v>415</v>
      </c>
      <c r="K25" s="17" t="str">
        <f aca="false">IFERROR(TEXT(MeanScore-2*SDScore,"0.0")&amp;" – "&amp;TEXT(MeanScore+2*SDScore,"0.0"),"")</f>
        <v/>
      </c>
      <c r="L25" s="73" t="n">
        <f aca="false">1-2*(1-NORMSDIST(2))</f>
        <v>0.954499736103642</v>
      </c>
      <c r="M25" s="18" t="str">
        <f aca="false">IFERROR(COUNTIFS(Totals,"&gt;="&amp;(MeanScore-2*SDScore),Totals,"&lt;="&amp;(MeanScore+2*SDScore)),"")</f>
        <v/>
      </c>
      <c r="N25" s="57" t="str">
        <f aca="false">IFERROR(M25/nGraded,"")</f>
        <v/>
      </c>
      <c r="P25" s="65" t="n">
        <v>11</v>
      </c>
      <c r="Q25" s="65" t="e">
        <f aca="false">IF(P25&lt;=nGraded,SMALL(Totals,P25),NA())</f>
        <v>#N/A</v>
      </c>
      <c r="R25" s="66" t="str">
        <f aca="false">IF(P25&lt;=nGraded,(P25-0.375)/(nGraded+0.25),"")</f>
        <v/>
      </c>
      <c r="S25" s="66" t="str">
        <f aca="false">IF(P25&lt;=nGraded,NORMSINV(R25),"")</f>
        <v/>
      </c>
      <c r="T25" s="66" t="e">
        <f aca="false">IFERROR(IF(P25&lt;=nGraded,MeanScore+SDScore*S25,NA()),NA())</f>
        <v>#N/A</v>
      </c>
      <c r="U25" s="66" t="str">
        <f aca="false">IFERROR(IF(P25&gt;nGraded,"",IF(P25=nGraded,$Z$19,IF(P25=nGraded-1,$Z$20,IF(P25=1,-$Z$19,IF(P25=2,-$Z$20,S25/SQRT($Z$21)))))),"")</f>
        <v/>
      </c>
      <c r="V25" s="66" t="str">
        <f aca="false">IFERROR(IF(P25&lt;=nGraded,U25*Q25,""),"")</f>
        <v/>
      </c>
      <c r="W25" s="66" t="str">
        <f aca="false">IFERROR(IF(P25&lt;=nGraded,(2*P25-1)*(LN(NORMDIST(Q25,MeanScore,SDScore,TRUE()))+LN(1-NORMDIST(LARGE(Totals,P25),MeanScore,SDScore,TRUE()))),""),"")</f>
        <v/>
      </c>
      <c r="Y25" s="67" t="s">
        <v>416</v>
      </c>
      <c r="Z25" s="68" t="str">
        <f aca="false">IFERROR(LN(nGraded),"")</f>
        <v/>
      </c>
      <c r="AB25" s="69" t="str">
        <f aca="false">IF('Quiz 2 Grades'!$Q17="Graded",'Quiz 2 Grades'!$M17,"")</f>
        <v/>
      </c>
      <c r="AC25" s="69" t="str">
        <f aca="false">IF('Quiz 2 Grades'!$Q17="Graded",'Quiz 2 Grades'!C17,"")</f>
        <v/>
      </c>
      <c r="AD25" s="69" t="str">
        <f aca="false">IF('Quiz 2 Grades'!$Q17="Graded",'Quiz 2 Grades'!D17,"")</f>
        <v/>
      </c>
      <c r="AE25" s="69" t="str">
        <f aca="false">IF('Quiz 2 Grades'!$Q17="Graded",'Quiz 2 Grades'!E17,"")</f>
        <v/>
      </c>
      <c r="AF25" s="69" t="str">
        <f aca="false">IF('Quiz 2 Grades'!$Q17="Graded",'Quiz 2 Grades'!F17,"")</f>
        <v/>
      </c>
      <c r="AG25" s="69" t="str">
        <f aca="false">IF('Quiz 2 Grades'!$Q17="Graded",'Quiz 2 Grades'!G17,"")</f>
        <v/>
      </c>
      <c r="AH25" s="69" t="str">
        <f aca="false">IF('Quiz 2 Grades'!$Q17="Graded",'Quiz 2 Grades'!I17,"")</f>
        <v/>
      </c>
      <c r="AI25" s="69" t="str">
        <f aca="false">IF('Quiz 2 Grades'!$Q17="Graded",'Quiz 2 Grades'!J17,"")</f>
        <v/>
      </c>
      <c r="AJ25" s="69" t="str">
        <f aca="false">IF('Quiz 2 Grades'!$Q17="Graded",'Quiz 2 Grades'!K17,"")</f>
        <v/>
      </c>
      <c r="AK25" s="69" t="str">
        <f aca="false">IF(ISNUMBER(AB25),AB25-AC25,"")</f>
        <v/>
      </c>
      <c r="AL25" s="69" t="str">
        <f aca="false">IF(ISNUMBER(AB25),AB25-AD25,"")</f>
        <v/>
      </c>
      <c r="AM25" s="69" t="str">
        <f aca="false">IF(ISNUMBER(AB25),AB25-AE25,"")</f>
        <v/>
      </c>
      <c r="AN25" s="69" t="str">
        <f aca="false">IF(ISNUMBER(AB25),AB25-AF25,"")</f>
        <v/>
      </c>
      <c r="AO25" s="69" t="str">
        <f aca="false">IF(ISNUMBER(AB25),AB25-AG25,"")</f>
        <v/>
      </c>
      <c r="AP25" s="69" t="str">
        <f aca="false">IF(ISNUMBER(AB25),AB25-AH25,"")</f>
        <v/>
      </c>
      <c r="AQ25" s="69" t="str">
        <f aca="false">IF(ISNUMBER(AB25),AB25-AI25,"")</f>
        <v/>
      </c>
      <c r="AR25" s="69" t="str">
        <f aca="false">IF(ISNUMBER(AB25),AB25-AJ25,"")</f>
        <v/>
      </c>
    </row>
    <row r="26" customFormat="false" ht="14.25" hidden="false" customHeight="false" outlineLevel="0" collapsed="false">
      <c r="A26" s="7" t="s">
        <v>417</v>
      </c>
      <c r="B26" s="18" t="n">
        <f aca="false">IFERROR(MAX(Totals),"")</f>
        <v>0</v>
      </c>
      <c r="C26" s="63"/>
      <c r="J26" s="7" t="s">
        <v>418</v>
      </c>
      <c r="K26" s="17" t="str">
        <f aca="false">IFERROR(TEXT(MeanScore-3*SDScore,"0.0")&amp;" – "&amp;TEXT(MeanScore+3*SDScore,"0.0"),"")</f>
        <v/>
      </c>
      <c r="L26" s="73" t="n">
        <f aca="false">1-2*(1-NORMSDIST(3))</f>
        <v>0.99730020393674</v>
      </c>
      <c r="M26" s="18" t="str">
        <f aca="false">IFERROR(COUNTIFS(Totals,"&gt;="&amp;(MeanScore-3*SDScore),Totals,"&lt;="&amp;(MeanScore+3*SDScore)),"")</f>
        <v/>
      </c>
      <c r="N26" s="57" t="str">
        <f aca="false">IFERROR(M26/nGraded,"")</f>
        <v/>
      </c>
      <c r="P26" s="65" t="n">
        <v>12</v>
      </c>
      <c r="Q26" s="65" t="e">
        <f aca="false">IF(P26&lt;=nGraded,SMALL(Totals,P26),NA())</f>
        <v>#N/A</v>
      </c>
      <c r="R26" s="66" t="str">
        <f aca="false">IF(P26&lt;=nGraded,(P26-0.375)/(nGraded+0.25),"")</f>
        <v/>
      </c>
      <c r="S26" s="66" t="str">
        <f aca="false">IF(P26&lt;=nGraded,NORMSINV(R26),"")</f>
        <v/>
      </c>
      <c r="T26" s="66" t="e">
        <f aca="false">IFERROR(IF(P26&lt;=nGraded,MeanScore+SDScore*S26,NA()),NA())</f>
        <v>#N/A</v>
      </c>
      <c r="U26" s="66" t="str">
        <f aca="false">IFERROR(IF(P26&gt;nGraded,"",IF(P26=nGraded,$Z$19,IF(P26=nGraded-1,$Z$20,IF(P26=1,-$Z$19,IF(P26=2,-$Z$20,S26/SQRT($Z$21)))))),"")</f>
        <v/>
      </c>
      <c r="V26" s="66" t="str">
        <f aca="false">IFERROR(IF(P26&lt;=nGraded,U26*Q26,""),"")</f>
        <v/>
      </c>
      <c r="W26" s="66" t="str">
        <f aca="false">IFERROR(IF(P26&lt;=nGraded,(2*P26-1)*(LN(NORMDIST(Q26,MeanScore,SDScore,TRUE()))+LN(1-NORMDIST(LARGE(Totals,P26),MeanScore,SDScore,TRUE()))),""),"")</f>
        <v/>
      </c>
      <c r="Y26" s="67" t="s">
        <v>419</v>
      </c>
      <c r="Z26" s="68" t="str">
        <f aca="false">IFERROR(0.0038915*Z25^3-0.083751*Z25^2-0.31082*Z25-1.5861,"")</f>
        <v/>
      </c>
      <c r="AB26" s="69" t="str">
        <f aca="false">IF('Quiz 2 Grades'!$Q18="Graded",'Quiz 2 Grades'!$M18,"")</f>
        <v/>
      </c>
      <c r="AC26" s="69" t="str">
        <f aca="false">IF('Quiz 2 Grades'!$Q18="Graded",'Quiz 2 Grades'!C18,"")</f>
        <v/>
      </c>
      <c r="AD26" s="69" t="str">
        <f aca="false">IF('Quiz 2 Grades'!$Q18="Graded",'Quiz 2 Grades'!D18,"")</f>
        <v/>
      </c>
      <c r="AE26" s="69" t="str">
        <f aca="false">IF('Quiz 2 Grades'!$Q18="Graded",'Quiz 2 Grades'!E18,"")</f>
        <v/>
      </c>
      <c r="AF26" s="69" t="str">
        <f aca="false">IF('Quiz 2 Grades'!$Q18="Graded",'Quiz 2 Grades'!F18,"")</f>
        <v/>
      </c>
      <c r="AG26" s="69" t="str">
        <f aca="false">IF('Quiz 2 Grades'!$Q18="Graded",'Quiz 2 Grades'!G18,"")</f>
        <v/>
      </c>
      <c r="AH26" s="69" t="str">
        <f aca="false">IF('Quiz 2 Grades'!$Q18="Graded",'Quiz 2 Grades'!I18,"")</f>
        <v/>
      </c>
      <c r="AI26" s="69" t="str">
        <f aca="false">IF('Quiz 2 Grades'!$Q18="Graded",'Quiz 2 Grades'!J18,"")</f>
        <v/>
      </c>
      <c r="AJ26" s="69" t="str">
        <f aca="false">IF('Quiz 2 Grades'!$Q18="Graded",'Quiz 2 Grades'!K18,"")</f>
        <v/>
      </c>
      <c r="AK26" s="69" t="str">
        <f aca="false">IF(ISNUMBER(AB26),AB26-AC26,"")</f>
        <v/>
      </c>
      <c r="AL26" s="69" t="str">
        <f aca="false">IF(ISNUMBER(AB26),AB26-AD26,"")</f>
        <v/>
      </c>
      <c r="AM26" s="69" t="str">
        <f aca="false">IF(ISNUMBER(AB26),AB26-AE26,"")</f>
        <v/>
      </c>
      <c r="AN26" s="69" t="str">
        <f aca="false">IF(ISNUMBER(AB26),AB26-AF26,"")</f>
        <v/>
      </c>
      <c r="AO26" s="69" t="str">
        <f aca="false">IF(ISNUMBER(AB26),AB26-AG26,"")</f>
        <v/>
      </c>
      <c r="AP26" s="69" t="str">
        <f aca="false">IF(ISNUMBER(AB26),AB26-AH26,"")</f>
        <v/>
      </c>
      <c r="AQ26" s="69" t="str">
        <f aca="false">IF(ISNUMBER(AB26),AB26-AI26,"")</f>
        <v/>
      </c>
      <c r="AR26" s="69" t="str">
        <f aca="false">IF(ISNUMBER(AB26),AB26-AJ26,"")</f>
        <v/>
      </c>
    </row>
    <row r="27" customFormat="false" ht="14.25" hidden="false" customHeight="false" outlineLevel="0" collapsed="false">
      <c r="A27" s="7" t="s">
        <v>321</v>
      </c>
      <c r="B27" s="18" t="n">
        <f aca="false">IFERROR(B26-B23,"")</f>
        <v>0</v>
      </c>
      <c r="C27" s="63" t="s">
        <v>420</v>
      </c>
      <c r="P27" s="65" t="n">
        <v>13</v>
      </c>
      <c r="Q27" s="65" t="e">
        <f aca="false">IF(P27&lt;=nGraded,SMALL(Totals,P27),NA())</f>
        <v>#N/A</v>
      </c>
      <c r="R27" s="66" t="str">
        <f aca="false">IF(P27&lt;=nGraded,(P27-0.375)/(nGraded+0.25),"")</f>
        <v/>
      </c>
      <c r="S27" s="66" t="str">
        <f aca="false">IF(P27&lt;=nGraded,NORMSINV(R27),"")</f>
        <v/>
      </c>
      <c r="T27" s="66" t="e">
        <f aca="false">IFERROR(IF(P27&lt;=nGraded,MeanScore+SDScore*S27,NA()),NA())</f>
        <v>#N/A</v>
      </c>
      <c r="U27" s="66" t="str">
        <f aca="false">IFERROR(IF(P27&gt;nGraded,"",IF(P27=nGraded,$Z$19,IF(P27=nGraded-1,$Z$20,IF(P27=1,-$Z$19,IF(P27=2,-$Z$20,S27/SQRT($Z$21)))))),"")</f>
        <v/>
      </c>
      <c r="V27" s="66" t="str">
        <f aca="false">IFERROR(IF(P27&lt;=nGraded,U27*Q27,""),"")</f>
        <v/>
      </c>
      <c r="W27" s="66" t="str">
        <f aca="false">IFERROR(IF(P27&lt;=nGraded,(2*P27-1)*(LN(NORMDIST(Q27,MeanScore,SDScore,TRUE()))+LN(1-NORMDIST(LARGE(Totals,P27),MeanScore,SDScore,TRUE()))),""),"")</f>
        <v/>
      </c>
      <c r="Y27" s="67" t="s">
        <v>421</v>
      </c>
      <c r="Z27" s="68" t="str">
        <f aca="false">IFERROR(EXP(0.0030302*Z25^2-0.082676*Z25-0.4803),"")</f>
        <v/>
      </c>
      <c r="AB27" s="69" t="str">
        <f aca="false">IF('Quiz 2 Grades'!$Q19="Graded",'Quiz 2 Grades'!$M19,"")</f>
        <v/>
      </c>
      <c r="AC27" s="69" t="str">
        <f aca="false">IF('Quiz 2 Grades'!$Q19="Graded",'Quiz 2 Grades'!C19,"")</f>
        <v/>
      </c>
      <c r="AD27" s="69" t="str">
        <f aca="false">IF('Quiz 2 Grades'!$Q19="Graded",'Quiz 2 Grades'!D19,"")</f>
        <v/>
      </c>
      <c r="AE27" s="69" t="str">
        <f aca="false">IF('Quiz 2 Grades'!$Q19="Graded",'Quiz 2 Grades'!E19,"")</f>
        <v/>
      </c>
      <c r="AF27" s="69" t="str">
        <f aca="false">IF('Quiz 2 Grades'!$Q19="Graded",'Quiz 2 Grades'!F19,"")</f>
        <v/>
      </c>
      <c r="AG27" s="69" t="str">
        <f aca="false">IF('Quiz 2 Grades'!$Q19="Graded",'Quiz 2 Grades'!G19,"")</f>
        <v/>
      </c>
      <c r="AH27" s="69" t="str">
        <f aca="false">IF('Quiz 2 Grades'!$Q19="Graded",'Quiz 2 Grades'!I19,"")</f>
        <v/>
      </c>
      <c r="AI27" s="69" t="str">
        <f aca="false">IF('Quiz 2 Grades'!$Q19="Graded",'Quiz 2 Grades'!J19,"")</f>
        <v/>
      </c>
      <c r="AJ27" s="69" t="str">
        <f aca="false">IF('Quiz 2 Grades'!$Q19="Graded",'Quiz 2 Grades'!K19,"")</f>
        <v/>
      </c>
      <c r="AK27" s="69" t="str">
        <f aca="false">IF(ISNUMBER(AB27),AB27-AC27,"")</f>
        <v/>
      </c>
      <c r="AL27" s="69" t="str">
        <f aca="false">IF(ISNUMBER(AB27),AB27-AD27,"")</f>
        <v/>
      </c>
      <c r="AM27" s="69" t="str">
        <f aca="false">IF(ISNUMBER(AB27),AB27-AE27,"")</f>
        <v/>
      </c>
      <c r="AN27" s="69" t="str">
        <f aca="false">IF(ISNUMBER(AB27),AB27-AF27,"")</f>
        <v/>
      </c>
      <c r="AO27" s="69" t="str">
        <f aca="false">IF(ISNUMBER(AB27),AB27-AG27,"")</f>
        <v/>
      </c>
      <c r="AP27" s="69" t="str">
        <f aca="false">IF(ISNUMBER(AB27),AB27-AH27,"")</f>
        <v/>
      </c>
      <c r="AQ27" s="69" t="str">
        <f aca="false">IF(ISNUMBER(AB27),AB27-AI27,"")</f>
        <v/>
      </c>
      <c r="AR27" s="69" t="str">
        <f aca="false">IF(ISNUMBER(AB27),AB27-AJ27,"")</f>
        <v/>
      </c>
    </row>
    <row r="28" customFormat="false" ht="30" hidden="false" customHeight="true" outlineLevel="0" collapsed="false">
      <c r="A28" s="7" t="s">
        <v>422</v>
      </c>
      <c r="B28" s="56" t="str">
        <f aca="false">IFERROR(B25-B24,"")</f>
        <v/>
      </c>
      <c r="C28" s="63" t="s">
        <v>423</v>
      </c>
      <c r="J28" s="11" t="s">
        <v>424</v>
      </c>
      <c r="K28" s="11" t="s">
        <v>337</v>
      </c>
      <c r="L28" s="11" t="s">
        <v>405</v>
      </c>
      <c r="M28" s="11" t="s">
        <v>406</v>
      </c>
      <c r="N28" s="11" t="s">
        <v>407</v>
      </c>
      <c r="P28" s="65" t="n">
        <v>14</v>
      </c>
      <c r="Q28" s="65" t="e">
        <f aca="false">IF(P28&lt;=nGraded,SMALL(Totals,P28),NA())</f>
        <v>#N/A</v>
      </c>
      <c r="R28" s="66" t="str">
        <f aca="false">IF(P28&lt;=nGraded,(P28-0.375)/(nGraded+0.25),"")</f>
        <v/>
      </c>
      <c r="S28" s="66" t="str">
        <f aca="false">IF(P28&lt;=nGraded,NORMSINV(R28),"")</f>
        <v/>
      </c>
      <c r="T28" s="66" t="e">
        <f aca="false">IFERROR(IF(P28&lt;=nGraded,MeanScore+SDScore*S28,NA()),NA())</f>
        <v>#N/A</v>
      </c>
      <c r="U28" s="66" t="str">
        <f aca="false">IFERROR(IF(P28&gt;nGraded,"",IF(P28=nGraded,$Z$19,IF(P28=nGraded-1,$Z$20,IF(P28=1,-$Z$19,IF(P28=2,-$Z$20,S28/SQRT($Z$21)))))),"")</f>
        <v/>
      </c>
      <c r="V28" s="66" t="str">
        <f aca="false">IFERROR(IF(P28&lt;=nGraded,U28*Q28,""),"")</f>
        <v/>
      </c>
      <c r="W28" s="66" t="str">
        <f aca="false">IFERROR(IF(P28&lt;=nGraded,(2*P28-1)*(LN(NORMDIST(Q28,MeanScore,SDScore,TRUE()))+LN(1-NORMDIST(LARGE(Totals,P28),MeanScore,SDScore,TRUE()))),""),"")</f>
        <v/>
      </c>
      <c r="Y28" s="67" t="s">
        <v>425</v>
      </c>
      <c r="Z28" s="68" t="str">
        <f aca="false">IFERROR((LN(1-Z24)-Z26)/Z27,"")</f>
        <v/>
      </c>
      <c r="AB28" s="69" t="str">
        <f aca="false">IF('Quiz 2 Grades'!$Q20="Graded",'Quiz 2 Grades'!$M20,"")</f>
        <v/>
      </c>
      <c r="AC28" s="69" t="str">
        <f aca="false">IF('Quiz 2 Grades'!$Q20="Graded",'Quiz 2 Grades'!C20,"")</f>
        <v/>
      </c>
      <c r="AD28" s="69" t="str">
        <f aca="false">IF('Quiz 2 Grades'!$Q20="Graded",'Quiz 2 Grades'!D20,"")</f>
        <v/>
      </c>
      <c r="AE28" s="69" t="str">
        <f aca="false">IF('Quiz 2 Grades'!$Q20="Graded",'Quiz 2 Grades'!E20,"")</f>
        <v/>
      </c>
      <c r="AF28" s="69" t="str">
        <f aca="false">IF('Quiz 2 Grades'!$Q20="Graded",'Quiz 2 Grades'!F20,"")</f>
        <v/>
      </c>
      <c r="AG28" s="69" t="str">
        <f aca="false">IF('Quiz 2 Grades'!$Q20="Graded",'Quiz 2 Grades'!G20,"")</f>
        <v/>
      </c>
      <c r="AH28" s="69" t="str">
        <f aca="false">IF('Quiz 2 Grades'!$Q20="Graded",'Quiz 2 Grades'!I20,"")</f>
        <v/>
      </c>
      <c r="AI28" s="69" t="str">
        <f aca="false">IF('Quiz 2 Grades'!$Q20="Graded",'Quiz 2 Grades'!J20,"")</f>
        <v/>
      </c>
      <c r="AJ28" s="69" t="str">
        <f aca="false">IF('Quiz 2 Grades'!$Q20="Graded",'Quiz 2 Grades'!K20,"")</f>
        <v/>
      </c>
      <c r="AK28" s="69" t="str">
        <f aca="false">IF(ISNUMBER(AB28),AB28-AC28,"")</f>
        <v/>
      </c>
      <c r="AL28" s="69" t="str">
        <f aca="false">IF(ISNUMBER(AB28),AB28-AD28,"")</f>
        <v/>
      </c>
      <c r="AM28" s="69" t="str">
        <f aca="false">IF(ISNUMBER(AB28),AB28-AE28,"")</f>
        <v/>
      </c>
      <c r="AN28" s="69" t="str">
        <f aca="false">IF(ISNUMBER(AB28),AB28-AF28,"")</f>
        <v/>
      </c>
      <c r="AO28" s="69" t="str">
        <f aca="false">IF(ISNUMBER(AB28),AB28-AG28,"")</f>
        <v/>
      </c>
      <c r="AP28" s="69" t="str">
        <f aca="false">IF(ISNUMBER(AB28),AB28-AH28,"")</f>
        <v/>
      </c>
      <c r="AQ28" s="69" t="str">
        <f aca="false">IF(ISNUMBER(AB28),AB28-AI28,"")</f>
        <v/>
      </c>
      <c r="AR28" s="69" t="str">
        <f aca="false">IF(ISNUMBER(AB28),AB28-AJ28,"")</f>
        <v/>
      </c>
    </row>
    <row r="29" customFormat="false" ht="14.25" hidden="false" customHeight="false" outlineLevel="0" collapsed="false">
      <c r="A29" s="7" t="s">
        <v>426</v>
      </c>
      <c r="B29" s="57" t="str">
        <f aca="false">IFERROR(B18/B16,"")</f>
        <v/>
      </c>
      <c r="C29" s="63" t="s">
        <v>427</v>
      </c>
      <c r="J29" s="7" t="s">
        <v>428</v>
      </c>
      <c r="K29" s="17" t="str">
        <f aca="false">IFERROR("≥ "&amp;TEXT(MeanScore+SDScore,"0.0"),"")</f>
        <v/>
      </c>
      <c r="L29" s="73" t="n">
        <f aca="false">1-NORMSDIST(1)</f>
        <v>0.158655253931457</v>
      </c>
      <c r="M29" s="18" t="str">
        <f aca="false">IFERROR(COUNTIF(Totals,"&gt;="&amp;(MeanScore+SDScore)),"")</f>
        <v/>
      </c>
      <c r="N29" s="57" t="str">
        <f aca="false">IFERROR(M29/nGraded,"")</f>
        <v/>
      </c>
      <c r="P29" s="65" t="n">
        <v>15</v>
      </c>
      <c r="Q29" s="65" t="e">
        <f aca="false">IF(P29&lt;=nGraded,SMALL(Totals,P29),NA())</f>
        <v>#N/A</v>
      </c>
      <c r="R29" s="66" t="str">
        <f aca="false">IF(P29&lt;=nGraded,(P29-0.375)/(nGraded+0.25),"")</f>
        <v/>
      </c>
      <c r="S29" s="66" t="str">
        <f aca="false">IF(P29&lt;=nGraded,NORMSINV(R29),"")</f>
        <v/>
      </c>
      <c r="T29" s="66" t="e">
        <f aca="false">IFERROR(IF(P29&lt;=nGraded,MeanScore+SDScore*S29,NA()),NA())</f>
        <v>#N/A</v>
      </c>
      <c r="U29" s="66" t="str">
        <f aca="false">IFERROR(IF(P29&gt;nGraded,"",IF(P29=nGraded,$Z$19,IF(P29=nGraded-1,$Z$20,IF(P29=1,-$Z$19,IF(P29=2,-$Z$20,S29/SQRT($Z$21)))))),"")</f>
        <v/>
      </c>
      <c r="V29" s="66" t="str">
        <f aca="false">IFERROR(IF(P29&lt;=nGraded,U29*Q29,""),"")</f>
        <v/>
      </c>
      <c r="W29" s="66" t="str">
        <f aca="false">IFERROR(IF(P29&lt;=nGraded,(2*P29-1)*(LN(NORMDIST(Q29,MeanScore,SDScore,TRUE()))+LN(1-NORMDIST(LARGE(Totals,P29),MeanScore,SDScore,TRUE()))),""),"")</f>
        <v/>
      </c>
      <c r="Y29" s="67" t="s">
        <v>429</v>
      </c>
      <c r="Z29" s="68" t="str">
        <f aca="false">IFERROR(1-NORMSDIST(Z28),"")</f>
        <v/>
      </c>
      <c r="AB29" s="69" t="str">
        <f aca="false">IF('Quiz 2 Grades'!$Q21="Graded",'Quiz 2 Grades'!$M21,"")</f>
        <v/>
      </c>
      <c r="AC29" s="69" t="str">
        <f aca="false">IF('Quiz 2 Grades'!$Q21="Graded",'Quiz 2 Grades'!C21,"")</f>
        <v/>
      </c>
      <c r="AD29" s="69" t="str">
        <f aca="false">IF('Quiz 2 Grades'!$Q21="Graded",'Quiz 2 Grades'!D21,"")</f>
        <v/>
      </c>
      <c r="AE29" s="69" t="str">
        <f aca="false">IF('Quiz 2 Grades'!$Q21="Graded",'Quiz 2 Grades'!E21,"")</f>
        <v/>
      </c>
      <c r="AF29" s="69" t="str">
        <f aca="false">IF('Quiz 2 Grades'!$Q21="Graded",'Quiz 2 Grades'!F21,"")</f>
        <v/>
      </c>
      <c r="AG29" s="69" t="str">
        <f aca="false">IF('Quiz 2 Grades'!$Q21="Graded",'Quiz 2 Grades'!G21,"")</f>
        <v/>
      </c>
      <c r="AH29" s="69" t="str">
        <f aca="false">IF('Quiz 2 Grades'!$Q21="Graded",'Quiz 2 Grades'!I21,"")</f>
        <v/>
      </c>
      <c r="AI29" s="69" t="str">
        <f aca="false">IF('Quiz 2 Grades'!$Q21="Graded",'Quiz 2 Grades'!J21,"")</f>
        <v/>
      </c>
      <c r="AJ29" s="69" t="str">
        <f aca="false">IF('Quiz 2 Grades'!$Q21="Graded",'Quiz 2 Grades'!K21,"")</f>
        <v/>
      </c>
      <c r="AK29" s="69" t="str">
        <f aca="false">IF(ISNUMBER(AB29),AB29-AC29,"")</f>
        <v/>
      </c>
      <c r="AL29" s="69" t="str">
        <f aca="false">IF(ISNUMBER(AB29),AB29-AD29,"")</f>
        <v/>
      </c>
      <c r="AM29" s="69" t="str">
        <f aca="false">IF(ISNUMBER(AB29),AB29-AE29,"")</f>
        <v/>
      </c>
      <c r="AN29" s="69" t="str">
        <f aca="false">IF(ISNUMBER(AB29),AB29-AF29,"")</f>
        <v/>
      </c>
      <c r="AO29" s="69" t="str">
        <f aca="false">IF(ISNUMBER(AB29),AB29-AG29,"")</f>
        <v/>
      </c>
      <c r="AP29" s="69" t="str">
        <f aca="false">IF(ISNUMBER(AB29),AB29-AH29,"")</f>
        <v/>
      </c>
      <c r="AQ29" s="69" t="str">
        <f aca="false">IF(ISNUMBER(AB29),AB29-AI29,"")</f>
        <v/>
      </c>
      <c r="AR29" s="69" t="str">
        <f aca="false">IF(ISNUMBER(AB29),AB29-AJ29,"")</f>
        <v/>
      </c>
    </row>
    <row r="30" customFormat="false" ht="20.25" hidden="false" customHeight="true" outlineLevel="0" collapsed="false">
      <c r="A30" s="7" t="s">
        <v>430</v>
      </c>
      <c r="B30" s="74" t="str">
        <f aca="false">IFERROR(SKEW(Totals),"")</f>
        <v/>
      </c>
      <c r="C30" s="63" t="s">
        <v>431</v>
      </c>
      <c r="J30" s="7" t="s">
        <v>432</v>
      </c>
      <c r="K30" s="17" t="str">
        <f aca="false">IFERROR(TEXT(MeanScore,"0.0")&amp;" – "&amp;TEXT(MeanScore+SDScore,"0.0"),"")</f>
        <v/>
      </c>
      <c r="L30" s="73" t="n">
        <f aca="false">NORMSDIST(1)-0.5</f>
        <v>0.341344746068543</v>
      </c>
      <c r="M30" s="18" t="str">
        <f aca="false">IFERROR(COUNTIFS(Totals,"&gt;="&amp;(MeanScore),Totals,"&lt;"&amp;(MeanScore+SDScore)),"")</f>
        <v/>
      </c>
      <c r="N30" s="57" t="str">
        <f aca="false">IFERROR(M30/nGraded,"")</f>
        <v/>
      </c>
      <c r="P30" s="65" t="n">
        <v>16</v>
      </c>
      <c r="Q30" s="65" t="e">
        <f aca="false">IF(P30&lt;=nGraded,SMALL(Totals,P30),NA())</f>
        <v>#N/A</v>
      </c>
      <c r="R30" s="66" t="str">
        <f aca="false">IF(P30&lt;=nGraded,(P30-0.375)/(nGraded+0.25),"")</f>
        <v/>
      </c>
      <c r="S30" s="66" t="str">
        <f aca="false">IF(P30&lt;=nGraded,NORMSINV(R30),"")</f>
        <v/>
      </c>
      <c r="T30" s="66" t="e">
        <f aca="false">IFERROR(IF(P30&lt;=nGraded,MeanScore+SDScore*S30,NA()),NA())</f>
        <v>#N/A</v>
      </c>
      <c r="U30" s="66" t="str">
        <f aca="false">IFERROR(IF(P30&gt;nGraded,"",IF(P30=nGraded,$Z$19,IF(P30=nGraded-1,$Z$20,IF(P30=1,-$Z$19,IF(P30=2,-$Z$20,S30/SQRT($Z$21)))))),"")</f>
        <v/>
      </c>
      <c r="V30" s="66" t="str">
        <f aca="false">IFERROR(IF(P30&lt;=nGraded,U30*Q30,""),"")</f>
        <v/>
      </c>
      <c r="W30" s="66" t="str">
        <f aca="false">IFERROR(IF(P30&lt;=nGraded,(2*P30-1)*(LN(NORMDIST(Q30,MeanScore,SDScore,TRUE()))+LN(1-NORMDIST(LARGE(Totals,P30),MeanScore,SDScore,TRUE()))),""),"")</f>
        <v/>
      </c>
      <c r="Y30" s="67" t="s">
        <v>433</v>
      </c>
      <c r="Z30" s="68" t="str">
        <f aca="false">IFERROR(-nGraded-SUM(W15:W66)/nGraded,"")</f>
        <v/>
      </c>
      <c r="AB30" s="69" t="str">
        <f aca="false">IF('Quiz 2 Grades'!$Q22="Graded",'Quiz 2 Grades'!$M22,"")</f>
        <v/>
      </c>
      <c r="AC30" s="69" t="str">
        <f aca="false">IF('Quiz 2 Grades'!$Q22="Graded",'Quiz 2 Grades'!C22,"")</f>
        <v/>
      </c>
      <c r="AD30" s="69" t="str">
        <f aca="false">IF('Quiz 2 Grades'!$Q22="Graded",'Quiz 2 Grades'!D22,"")</f>
        <v/>
      </c>
      <c r="AE30" s="69" t="str">
        <f aca="false">IF('Quiz 2 Grades'!$Q22="Graded",'Quiz 2 Grades'!E22,"")</f>
        <v/>
      </c>
      <c r="AF30" s="69" t="str">
        <f aca="false">IF('Quiz 2 Grades'!$Q22="Graded",'Quiz 2 Grades'!F22,"")</f>
        <v/>
      </c>
      <c r="AG30" s="69" t="str">
        <f aca="false">IF('Quiz 2 Grades'!$Q22="Graded",'Quiz 2 Grades'!G22,"")</f>
        <v/>
      </c>
      <c r="AH30" s="69" t="str">
        <f aca="false">IF('Quiz 2 Grades'!$Q22="Graded",'Quiz 2 Grades'!I22,"")</f>
        <v/>
      </c>
      <c r="AI30" s="69" t="str">
        <f aca="false">IF('Quiz 2 Grades'!$Q22="Graded",'Quiz 2 Grades'!J22,"")</f>
        <v/>
      </c>
      <c r="AJ30" s="69" t="str">
        <f aca="false">IF('Quiz 2 Grades'!$Q22="Graded",'Quiz 2 Grades'!K22,"")</f>
        <v/>
      </c>
      <c r="AK30" s="69" t="str">
        <f aca="false">IF(ISNUMBER(AB30),AB30-AC30,"")</f>
        <v/>
      </c>
      <c r="AL30" s="69" t="str">
        <f aca="false">IF(ISNUMBER(AB30),AB30-AD30,"")</f>
        <v/>
      </c>
      <c r="AM30" s="69" t="str">
        <f aca="false">IF(ISNUMBER(AB30),AB30-AE30,"")</f>
        <v/>
      </c>
      <c r="AN30" s="69" t="str">
        <f aca="false">IF(ISNUMBER(AB30),AB30-AF30,"")</f>
        <v/>
      </c>
      <c r="AO30" s="69" t="str">
        <f aca="false">IF(ISNUMBER(AB30),AB30-AG30,"")</f>
        <v/>
      </c>
      <c r="AP30" s="69" t="str">
        <f aca="false">IF(ISNUMBER(AB30),AB30-AH30,"")</f>
        <v/>
      </c>
      <c r="AQ30" s="69" t="str">
        <f aca="false">IF(ISNUMBER(AB30),AB30-AI30,"")</f>
        <v/>
      </c>
      <c r="AR30" s="69" t="str">
        <f aca="false">IF(ISNUMBER(AB30),AB30-AJ30,"")</f>
        <v/>
      </c>
    </row>
    <row r="31" customFormat="false" ht="20.25" hidden="false" customHeight="true" outlineLevel="0" collapsed="false">
      <c r="A31" s="7" t="s">
        <v>434</v>
      </c>
      <c r="B31" s="74" t="str">
        <f aca="false">IFERROR(KURT(Totals),"")</f>
        <v/>
      </c>
      <c r="C31" s="63" t="s">
        <v>435</v>
      </c>
      <c r="J31" s="7" t="s">
        <v>436</v>
      </c>
      <c r="K31" s="17" t="str">
        <f aca="false">IFERROR(TEXT(MeanScore-SDScore,"0.0")&amp;" – "&amp;TEXT(MeanScore,"0.0"),"")</f>
        <v/>
      </c>
      <c r="L31" s="73" t="n">
        <f aca="false">NORMSDIST(1)-0.5</f>
        <v>0.341344746068543</v>
      </c>
      <c r="M31" s="18" t="str">
        <f aca="false">IFERROR(COUNTIFS(Totals,"&gt;="&amp;(MeanScore-SDScore),Totals,"&lt;"&amp;(MeanScore)),"")</f>
        <v/>
      </c>
      <c r="N31" s="57" t="str">
        <f aca="false">IFERROR(M31/nGraded,"")</f>
        <v/>
      </c>
      <c r="P31" s="65" t="n">
        <v>17</v>
      </c>
      <c r="Q31" s="65" t="e">
        <f aca="false">IF(P31&lt;=nGraded,SMALL(Totals,P31),NA())</f>
        <v>#N/A</v>
      </c>
      <c r="R31" s="66" t="str">
        <f aca="false">IF(P31&lt;=nGraded,(P31-0.375)/(nGraded+0.25),"")</f>
        <v/>
      </c>
      <c r="S31" s="66" t="str">
        <f aca="false">IF(P31&lt;=nGraded,NORMSINV(R31),"")</f>
        <v/>
      </c>
      <c r="T31" s="66" t="e">
        <f aca="false">IFERROR(IF(P31&lt;=nGraded,MeanScore+SDScore*S31,NA()),NA())</f>
        <v>#N/A</v>
      </c>
      <c r="U31" s="66" t="str">
        <f aca="false">IFERROR(IF(P31&gt;nGraded,"",IF(P31=nGraded,$Z$19,IF(P31=nGraded-1,$Z$20,IF(P31=1,-$Z$19,IF(P31=2,-$Z$20,S31/SQRT($Z$21)))))),"")</f>
        <v/>
      </c>
      <c r="V31" s="66" t="str">
        <f aca="false">IFERROR(IF(P31&lt;=nGraded,U31*Q31,""),"")</f>
        <v/>
      </c>
      <c r="W31" s="66" t="str">
        <f aca="false">IFERROR(IF(P31&lt;=nGraded,(2*P31-1)*(LN(NORMDIST(Q31,MeanScore,SDScore,TRUE()))+LN(1-NORMDIST(LARGE(Totals,P31),MeanScore,SDScore,TRUE()))),""),"")</f>
        <v/>
      </c>
      <c r="Y31" s="67" t="s">
        <v>437</v>
      </c>
      <c r="Z31" s="68" t="str">
        <f aca="false">IFERROR(Z30*(1+0.75/nGraded+2.25/nGraded^2),"")</f>
        <v/>
      </c>
      <c r="AB31" s="69" t="str">
        <f aca="false">IF('Quiz 2 Grades'!$Q23="Graded",'Quiz 2 Grades'!$M23,"")</f>
        <v/>
      </c>
      <c r="AC31" s="69" t="str">
        <f aca="false">IF('Quiz 2 Grades'!$Q23="Graded",'Quiz 2 Grades'!C23,"")</f>
        <v/>
      </c>
      <c r="AD31" s="69" t="str">
        <f aca="false">IF('Quiz 2 Grades'!$Q23="Graded",'Quiz 2 Grades'!D23,"")</f>
        <v/>
      </c>
      <c r="AE31" s="69" t="str">
        <f aca="false">IF('Quiz 2 Grades'!$Q23="Graded",'Quiz 2 Grades'!E23,"")</f>
        <v/>
      </c>
      <c r="AF31" s="69" t="str">
        <f aca="false">IF('Quiz 2 Grades'!$Q23="Graded",'Quiz 2 Grades'!F23,"")</f>
        <v/>
      </c>
      <c r="AG31" s="69" t="str">
        <f aca="false">IF('Quiz 2 Grades'!$Q23="Graded",'Quiz 2 Grades'!G23,"")</f>
        <v/>
      </c>
      <c r="AH31" s="69" t="str">
        <f aca="false">IF('Quiz 2 Grades'!$Q23="Graded",'Quiz 2 Grades'!I23,"")</f>
        <v/>
      </c>
      <c r="AI31" s="69" t="str">
        <f aca="false">IF('Quiz 2 Grades'!$Q23="Graded",'Quiz 2 Grades'!J23,"")</f>
        <v/>
      </c>
      <c r="AJ31" s="69" t="str">
        <f aca="false">IF('Quiz 2 Grades'!$Q23="Graded",'Quiz 2 Grades'!K23,"")</f>
        <v/>
      </c>
      <c r="AK31" s="69" t="str">
        <f aca="false">IF(ISNUMBER(AB31),AB31-AC31,"")</f>
        <v/>
      </c>
      <c r="AL31" s="69" t="str">
        <f aca="false">IF(ISNUMBER(AB31),AB31-AD31,"")</f>
        <v/>
      </c>
      <c r="AM31" s="69" t="str">
        <f aca="false">IF(ISNUMBER(AB31),AB31-AE31,"")</f>
        <v/>
      </c>
      <c r="AN31" s="69" t="str">
        <f aca="false">IF(ISNUMBER(AB31),AB31-AF31,"")</f>
        <v/>
      </c>
      <c r="AO31" s="69" t="str">
        <f aca="false">IF(ISNUMBER(AB31),AB31-AG31,"")</f>
        <v/>
      </c>
      <c r="AP31" s="69" t="str">
        <f aca="false">IF(ISNUMBER(AB31),AB31-AH31,"")</f>
        <v/>
      </c>
      <c r="AQ31" s="69" t="str">
        <f aca="false">IF(ISNUMBER(AB31),AB31-AI31,"")</f>
        <v/>
      </c>
      <c r="AR31" s="69" t="str">
        <f aca="false">IF(ISNUMBER(AB31),AB31-AJ31,"")</f>
        <v/>
      </c>
    </row>
    <row r="32" customFormat="false" ht="14.25" hidden="false" customHeight="false" outlineLevel="0" collapsed="false">
      <c r="A32" s="7" t="s">
        <v>438</v>
      </c>
      <c r="B32" s="57" t="str">
        <f aca="false">IFERROR(B16/MaxScore,"")</f>
        <v/>
      </c>
      <c r="C32" s="63"/>
      <c r="J32" s="7" t="s">
        <v>439</v>
      </c>
      <c r="K32" s="17" t="str">
        <f aca="false">IFERROR(TEXT(MeanScore-2*SDScore,"0.0")&amp;" – "&amp;TEXT(MeanScore-SDScore,"0.0"),"")</f>
        <v/>
      </c>
      <c r="L32" s="73" t="n">
        <f aca="false">NORMSDIST(2)-NORMSDIST(1)</f>
        <v>0.135905121983278</v>
      </c>
      <c r="M32" s="18" t="str">
        <f aca="false">IFERROR(COUNTIFS(Totals,"&gt;="&amp;(MeanScore-2*SDScore),Totals,"&lt;"&amp;(MeanScore-SDScore)),"")</f>
        <v/>
      </c>
      <c r="N32" s="57" t="str">
        <f aca="false">IFERROR(M32/nGraded,"")</f>
        <v/>
      </c>
      <c r="P32" s="65" t="n">
        <v>18</v>
      </c>
      <c r="Q32" s="65" t="e">
        <f aca="false">IF(P32&lt;=nGraded,SMALL(Totals,P32),NA())</f>
        <v>#N/A</v>
      </c>
      <c r="R32" s="66" t="str">
        <f aca="false">IF(P32&lt;=nGraded,(P32-0.375)/(nGraded+0.25),"")</f>
        <v/>
      </c>
      <c r="S32" s="66" t="str">
        <f aca="false">IF(P32&lt;=nGraded,NORMSINV(R32),"")</f>
        <v/>
      </c>
      <c r="T32" s="66" t="e">
        <f aca="false">IFERROR(IF(P32&lt;=nGraded,MeanScore+SDScore*S32,NA()),NA())</f>
        <v>#N/A</v>
      </c>
      <c r="U32" s="66" t="str">
        <f aca="false">IFERROR(IF(P32&gt;nGraded,"",IF(P32=nGraded,$Z$19,IF(P32=nGraded-1,$Z$20,IF(P32=1,-$Z$19,IF(P32=2,-$Z$20,S32/SQRT($Z$21)))))),"")</f>
        <v/>
      </c>
      <c r="V32" s="66" t="str">
        <f aca="false">IFERROR(IF(P32&lt;=nGraded,U32*Q32,""),"")</f>
        <v/>
      </c>
      <c r="W32" s="66" t="str">
        <f aca="false">IFERROR(IF(P32&lt;=nGraded,(2*P32-1)*(LN(NORMDIST(Q32,MeanScore,SDScore,TRUE()))+LN(1-NORMDIST(LARGE(Totals,P32),MeanScore,SDScore,TRUE()))),""),"")</f>
        <v/>
      </c>
      <c r="Y32" s="67" t="s">
        <v>440</v>
      </c>
      <c r="Z32" s="68" t="str">
        <f aca="false">IFERROR(IF(Z31&gt;=0.6,EXP(1.2937-5.709*Z31+0.0186*Z31^2),IF(Z31&gt;=0.34,EXP(0.9177-4.279*Z31-1.38*Z31^2),IF(Z31&gt;=0.2,1-EXP(-8.318+42.796*Z31-59.938*Z31^2),1-EXP(-13.436+101.14*Z31-223.73*Z31^2)))),"")</f>
        <v/>
      </c>
      <c r="AB32" s="69" t="str">
        <f aca="false">IF('Quiz 2 Grades'!$Q24="Graded",'Quiz 2 Grades'!$M24,"")</f>
        <v/>
      </c>
      <c r="AC32" s="69" t="str">
        <f aca="false">IF('Quiz 2 Grades'!$Q24="Graded",'Quiz 2 Grades'!C24,"")</f>
        <v/>
      </c>
      <c r="AD32" s="69" t="str">
        <f aca="false">IF('Quiz 2 Grades'!$Q24="Graded",'Quiz 2 Grades'!D24,"")</f>
        <v/>
      </c>
      <c r="AE32" s="69" t="str">
        <f aca="false">IF('Quiz 2 Grades'!$Q24="Graded",'Quiz 2 Grades'!E24,"")</f>
        <v/>
      </c>
      <c r="AF32" s="69" t="str">
        <f aca="false">IF('Quiz 2 Grades'!$Q24="Graded",'Quiz 2 Grades'!F24,"")</f>
        <v/>
      </c>
      <c r="AG32" s="69" t="str">
        <f aca="false">IF('Quiz 2 Grades'!$Q24="Graded",'Quiz 2 Grades'!G24,"")</f>
        <v/>
      </c>
      <c r="AH32" s="69" t="str">
        <f aca="false">IF('Quiz 2 Grades'!$Q24="Graded",'Quiz 2 Grades'!I24,"")</f>
        <v/>
      </c>
      <c r="AI32" s="69" t="str">
        <f aca="false">IF('Quiz 2 Grades'!$Q24="Graded",'Quiz 2 Grades'!J24,"")</f>
        <v/>
      </c>
      <c r="AJ32" s="69" t="str">
        <f aca="false">IF('Quiz 2 Grades'!$Q24="Graded",'Quiz 2 Grades'!K24,"")</f>
        <v/>
      </c>
      <c r="AK32" s="69" t="str">
        <f aca="false">IF(ISNUMBER(AB32),AB32-AC32,"")</f>
        <v/>
      </c>
      <c r="AL32" s="69" t="str">
        <f aca="false">IF(ISNUMBER(AB32),AB32-AD32,"")</f>
        <v/>
      </c>
      <c r="AM32" s="69" t="str">
        <f aca="false">IF(ISNUMBER(AB32),AB32-AE32,"")</f>
        <v/>
      </c>
      <c r="AN32" s="69" t="str">
        <f aca="false">IF(ISNUMBER(AB32),AB32-AF32,"")</f>
        <v/>
      </c>
      <c r="AO32" s="69" t="str">
        <f aca="false">IF(ISNUMBER(AB32),AB32-AG32,"")</f>
        <v/>
      </c>
      <c r="AP32" s="69" t="str">
        <f aca="false">IF(ISNUMBER(AB32),AB32-AH32,"")</f>
        <v/>
      </c>
      <c r="AQ32" s="69" t="str">
        <f aca="false">IF(ISNUMBER(AB32),AB32-AI32,"")</f>
        <v/>
      </c>
      <c r="AR32" s="69" t="str">
        <f aca="false">IF(ISNUMBER(AB32),AB32-AJ32,"")</f>
        <v/>
      </c>
    </row>
    <row r="33" customFormat="false" ht="14.25" hidden="false" customHeight="false" outlineLevel="0" collapsed="false">
      <c r="A33" s="7" t="s">
        <v>441</v>
      </c>
      <c r="B33" s="57" t="str">
        <f aca="false">IFERROR(B17/MaxScore,"")</f>
        <v/>
      </c>
      <c r="C33" s="63"/>
      <c r="J33" s="7" t="s">
        <v>442</v>
      </c>
      <c r="K33" s="17" t="str">
        <f aca="false">IFERROR("&lt; "&amp;TEXT(MeanScore-2*SDScore,"0.0"),"")</f>
        <v/>
      </c>
      <c r="L33" s="73" t="n">
        <f aca="false">1-NORMSDIST(2)</f>
        <v>0.0227501319481792</v>
      </c>
      <c r="M33" s="18" t="str">
        <f aca="false">IFERROR(COUNTIF(Totals,"&lt;"&amp;(MeanScore-2*SDScore)),"")</f>
        <v/>
      </c>
      <c r="N33" s="57" t="str">
        <f aca="false">IFERROR(M33/nGraded,"")</f>
        <v/>
      </c>
      <c r="P33" s="65" t="n">
        <v>19</v>
      </c>
      <c r="Q33" s="65" t="e">
        <f aca="false">IF(P33&lt;=nGraded,SMALL(Totals,P33),NA())</f>
        <v>#N/A</v>
      </c>
      <c r="R33" s="66" t="str">
        <f aca="false">IF(P33&lt;=nGraded,(P33-0.375)/(nGraded+0.25),"")</f>
        <v/>
      </c>
      <c r="S33" s="66" t="str">
        <f aca="false">IF(P33&lt;=nGraded,NORMSINV(R33),"")</f>
        <v/>
      </c>
      <c r="T33" s="66" t="e">
        <f aca="false">IFERROR(IF(P33&lt;=nGraded,MeanScore+SDScore*S33,NA()),NA())</f>
        <v>#N/A</v>
      </c>
      <c r="U33" s="66" t="str">
        <f aca="false">IFERROR(IF(P33&gt;nGraded,"",IF(P33=nGraded,$Z$19,IF(P33=nGraded-1,$Z$20,IF(P33=1,-$Z$19,IF(P33=2,-$Z$20,S33/SQRT($Z$21)))))),"")</f>
        <v/>
      </c>
      <c r="V33" s="66" t="str">
        <f aca="false">IFERROR(IF(P33&lt;=nGraded,U33*Q33,""),"")</f>
        <v/>
      </c>
      <c r="W33" s="66" t="str">
        <f aca="false">IFERROR(IF(P33&lt;=nGraded,(2*P33-1)*(LN(NORMDIST(Q33,MeanScore,SDScore,TRUE()))+LN(1-NORMDIST(LARGE(Totals,P33),MeanScore,SDScore,TRUE()))),""),"")</f>
        <v/>
      </c>
      <c r="Y33" s="67" t="s">
        <v>443</v>
      </c>
      <c r="Z33" s="68" t="n">
        <f aca="false">IFERROR(SQRT(6*nGraded*(nGraded-1)/((nGraded-2)*(nGraded+1)*(nGraded+3))),"")</f>
        <v>0</v>
      </c>
      <c r="AB33" s="69" t="str">
        <f aca="false">IF('Quiz 2 Grades'!$Q25="Graded",'Quiz 2 Grades'!$M25,"")</f>
        <v/>
      </c>
      <c r="AC33" s="69" t="str">
        <f aca="false">IF('Quiz 2 Grades'!$Q25="Graded",'Quiz 2 Grades'!C25,"")</f>
        <v/>
      </c>
      <c r="AD33" s="69" t="str">
        <f aca="false">IF('Quiz 2 Grades'!$Q25="Graded",'Quiz 2 Grades'!D25,"")</f>
        <v/>
      </c>
      <c r="AE33" s="69" t="str">
        <f aca="false">IF('Quiz 2 Grades'!$Q25="Graded",'Quiz 2 Grades'!E25,"")</f>
        <v/>
      </c>
      <c r="AF33" s="69" t="str">
        <f aca="false">IF('Quiz 2 Grades'!$Q25="Graded",'Quiz 2 Grades'!F25,"")</f>
        <v/>
      </c>
      <c r="AG33" s="69" t="str">
        <f aca="false">IF('Quiz 2 Grades'!$Q25="Graded",'Quiz 2 Grades'!G25,"")</f>
        <v/>
      </c>
      <c r="AH33" s="69" t="str">
        <f aca="false">IF('Quiz 2 Grades'!$Q25="Graded",'Quiz 2 Grades'!I25,"")</f>
        <v/>
      </c>
      <c r="AI33" s="69" t="str">
        <f aca="false">IF('Quiz 2 Grades'!$Q25="Graded",'Quiz 2 Grades'!J25,"")</f>
        <v/>
      </c>
      <c r="AJ33" s="69" t="str">
        <f aca="false">IF('Quiz 2 Grades'!$Q25="Graded",'Quiz 2 Grades'!K25,"")</f>
        <v/>
      </c>
      <c r="AK33" s="69" t="str">
        <f aca="false">IF(ISNUMBER(AB33),AB33-AC33,"")</f>
        <v/>
      </c>
      <c r="AL33" s="69" t="str">
        <f aca="false">IF(ISNUMBER(AB33),AB33-AD33,"")</f>
        <v/>
      </c>
      <c r="AM33" s="69" t="str">
        <f aca="false">IF(ISNUMBER(AB33),AB33-AE33,"")</f>
        <v/>
      </c>
      <c r="AN33" s="69" t="str">
        <f aca="false">IF(ISNUMBER(AB33),AB33-AF33,"")</f>
        <v/>
      </c>
      <c r="AO33" s="69" t="str">
        <f aca="false">IF(ISNUMBER(AB33),AB33-AG33,"")</f>
        <v/>
      </c>
      <c r="AP33" s="69" t="str">
        <f aca="false">IF(ISNUMBER(AB33),AB33-AH33,"")</f>
        <v/>
      </c>
      <c r="AQ33" s="69" t="str">
        <f aca="false">IF(ISNUMBER(AB33),AB33-AI33,"")</f>
        <v/>
      </c>
      <c r="AR33" s="69" t="str">
        <f aca="false">IF(ISNUMBER(AB33),AB33-AJ33,"")</f>
        <v/>
      </c>
    </row>
    <row r="34" customFormat="false" ht="14.25" hidden="false" customHeight="false" outlineLevel="0" collapsed="false">
      <c r="A34" s="4" t="s">
        <v>444</v>
      </c>
      <c r="B34" s="75" t="n">
        <v>0.05</v>
      </c>
      <c r="J34" s="4" t="s">
        <v>340</v>
      </c>
      <c r="M34" s="18" t="n">
        <f aca="false">SUM(M29:M33)</f>
        <v>0</v>
      </c>
      <c r="N34" s="17" t="str">
        <f aca="false">IF(M34=nGraded,"✔ = n","check")</f>
        <v>✔ = n</v>
      </c>
      <c r="P34" s="65" t="n">
        <v>20</v>
      </c>
      <c r="Q34" s="65" t="e">
        <f aca="false">IF(P34&lt;=nGraded,SMALL(Totals,P34),NA())</f>
        <v>#N/A</v>
      </c>
      <c r="R34" s="66" t="str">
        <f aca="false">IF(P34&lt;=nGraded,(P34-0.375)/(nGraded+0.25),"")</f>
        <v/>
      </c>
      <c r="S34" s="66" t="str">
        <f aca="false">IF(P34&lt;=nGraded,NORMSINV(R34),"")</f>
        <v/>
      </c>
      <c r="T34" s="66" t="e">
        <f aca="false">IFERROR(IF(P34&lt;=nGraded,MeanScore+SDScore*S34,NA()),NA())</f>
        <v>#N/A</v>
      </c>
      <c r="U34" s="66" t="str">
        <f aca="false">IFERROR(IF(P34&gt;nGraded,"",IF(P34=nGraded,$Z$19,IF(P34=nGraded-1,$Z$20,IF(P34=1,-$Z$19,IF(P34=2,-$Z$20,S34/SQRT($Z$21)))))),"")</f>
        <v/>
      </c>
      <c r="V34" s="66" t="str">
        <f aca="false">IFERROR(IF(P34&lt;=nGraded,U34*Q34,""),"")</f>
        <v/>
      </c>
      <c r="W34" s="66" t="str">
        <f aca="false">IFERROR(IF(P34&lt;=nGraded,(2*P34-1)*(LN(NORMDIST(Q34,MeanScore,SDScore,TRUE()))+LN(1-NORMDIST(LARGE(Totals,P34),MeanScore,SDScore,TRUE()))),""),"")</f>
        <v/>
      </c>
      <c r="Y34" s="67" t="s">
        <v>445</v>
      </c>
      <c r="Z34" s="68" t="n">
        <f aca="false">IFERROR(2*Z33*SQRT((nGraded^2-1)/((nGraded-3)*(nGraded+5))),"")</f>
        <v>0</v>
      </c>
      <c r="AB34" s="69" t="str">
        <f aca="false">IF('Quiz 2 Grades'!$Q26="Graded",'Quiz 2 Grades'!$M26,"")</f>
        <v/>
      </c>
      <c r="AC34" s="69" t="str">
        <f aca="false">IF('Quiz 2 Grades'!$Q26="Graded",'Quiz 2 Grades'!C26,"")</f>
        <v/>
      </c>
      <c r="AD34" s="69" t="str">
        <f aca="false">IF('Quiz 2 Grades'!$Q26="Graded",'Quiz 2 Grades'!D26,"")</f>
        <v/>
      </c>
      <c r="AE34" s="69" t="str">
        <f aca="false">IF('Quiz 2 Grades'!$Q26="Graded",'Quiz 2 Grades'!E26,"")</f>
        <v/>
      </c>
      <c r="AF34" s="69" t="str">
        <f aca="false">IF('Quiz 2 Grades'!$Q26="Graded",'Quiz 2 Grades'!F26,"")</f>
        <v/>
      </c>
      <c r="AG34" s="69" t="str">
        <f aca="false">IF('Quiz 2 Grades'!$Q26="Graded",'Quiz 2 Grades'!G26,"")</f>
        <v/>
      </c>
      <c r="AH34" s="69" t="str">
        <f aca="false">IF('Quiz 2 Grades'!$Q26="Graded",'Quiz 2 Grades'!I26,"")</f>
        <v/>
      </c>
      <c r="AI34" s="69" t="str">
        <f aca="false">IF('Quiz 2 Grades'!$Q26="Graded",'Quiz 2 Grades'!J26,"")</f>
        <v/>
      </c>
      <c r="AJ34" s="69" t="str">
        <f aca="false">IF('Quiz 2 Grades'!$Q26="Graded",'Quiz 2 Grades'!K26,"")</f>
        <v/>
      </c>
      <c r="AK34" s="69" t="str">
        <f aca="false">IF(ISNUMBER(AB34),AB34-AC34,"")</f>
        <v/>
      </c>
      <c r="AL34" s="69" t="str">
        <f aca="false">IF(ISNUMBER(AB34),AB34-AD34,"")</f>
        <v/>
      </c>
      <c r="AM34" s="69" t="str">
        <f aca="false">IF(ISNUMBER(AB34),AB34-AE34,"")</f>
        <v/>
      </c>
      <c r="AN34" s="69" t="str">
        <f aca="false">IF(ISNUMBER(AB34),AB34-AF34,"")</f>
        <v/>
      </c>
      <c r="AO34" s="69" t="str">
        <f aca="false">IF(ISNUMBER(AB34),AB34-AG34,"")</f>
        <v/>
      </c>
      <c r="AP34" s="69" t="str">
        <f aca="false">IF(ISNUMBER(AB34),AB34-AH34,"")</f>
        <v/>
      </c>
      <c r="AQ34" s="69" t="str">
        <f aca="false">IF(ISNUMBER(AB34),AB34-AI34,"")</f>
        <v/>
      </c>
      <c r="AR34" s="69" t="str">
        <f aca="false">IF(ISNUMBER(AB34),AB34-AJ34,"")</f>
        <v/>
      </c>
    </row>
    <row r="35" customFormat="false" ht="14.25" hidden="false" customHeight="false" outlineLevel="0" collapsed="false">
      <c r="A35" s="4" t="s">
        <v>446</v>
      </c>
      <c r="B35" s="76" t="n">
        <v>0.95</v>
      </c>
      <c r="P35" s="65" t="n">
        <v>21</v>
      </c>
      <c r="Q35" s="65" t="e">
        <f aca="false">IF(P35&lt;=nGraded,SMALL(Totals,P35),NA())</f>
        <v>#N/A</v>
      </c>
      <c r="R35" s="66" t="str">
        <f aca="false">IF(P35&lt;=nGraded,(P35-0.375)/(nGraded+0.25),"")</f>
        <v/>
      </c>
      <c r="S35" s="66" t="str">
        <f aca="false">IF(P35&lt;=nGraded,NORMSINV(R35),"")</f>
        <v/>
      </c>
      <c r="T35" s="66" t="e">
        <f aca="false">IFERROR(IF(P35&lt;=nGraded,MeanScore+SDScore*S35,NA()),NA())</f>
        <v>#N/A</v>
      </c>
      <c r="U35" s="66" t="str">
        <f aca="false">IFERROR(IF(P35&gt;nGraded,"",IF(P35=nGraded,$Z$19,IF(P35=nGraded-1,$Z$20,IF(P35=1,-$Z$19,IF(P35=2,-$Z$20,S35/SQRT($Z$21)))))),"")</f>
        <v/>
      </c>
      <c r="V35" s="66" t="str">
        <f aca="false">IFERROR(IF(P35&lt;=nGraded,U35*Q35,""),"")</f>
        <v/>
      </c>
      <c r="W35" s="66" t="str">
        <f aca="false">IFERROR(IF(P35&lt;=nGraded,(2*P35-1)*(LN(NORMDIST(Q35,MeanScore,SDScore,TRUE()))+LN(1-NORMDIST(LARGE(Totals,P35),MeanScore,SDScore,TRUE()))),""),"")</f>
        <v/>
      </c>
      <c r="AB35" s="69" t="str">
        <f aca="false">IF('Quiz 2 Grades'!$Q27="Graded",'Quiz 2 Grades'!$M27,"")</f>
        <v/>
      </c>
      <c r="AC35" s="69" t="str">
        <f aca="false">IF('Quiz 2 Grades'!$Q27="Graded",'Quiz 2 Grades'!C27,"")</f>
        <v/>
      </c>
      <c r="AD35" s="69" t="str">
        <f aca="false">IF('Quiz 2 Grades'!$Q27="Graded",'Quiz 2 Grades'!D27,"")</f>
        <v/>
      </c>
      <c r="AE35" s="69" t="str">
        <f aca="false">IF('Quiz 2 Grades'!$Q27="Graded",'Quiz 2 Grades'!E27,"")</f>
        <v/>
      </c>
      <c r="AF35" s="69" t="str">
        <f aca="false">IF('Quiz 2 Grades'!$Q27="Graded",'Quiz 2 Grades'!F27,"")</f>
        <v/>
      </c>
      <c r="AG35" s="69" t="str">
        <f aca="false">IF('Quiz 2 Grades'!$Q27="Graded",'Quiz 2 Grades'!G27,"")</f>
        <v/>
      </c>
      <c r="AH35" s="69" t="str">
        <f aca="false">IF('Quiz 2 Grades'!$Q27="Graded",'Quiz 2 Grades'!I27,"")</f>
        <v/>
      </c>
      <c r="AI35" s="69" t="str">
        <f aca="false">IF('Quiz 2 Grades'!$Q27="Graded",'Quiz 2 Grades'!J27,"")</f>
        <v/>
      </c>
      <c r="AJ35" s="69" t="str">
        <f aca="false">IF('Quiz 2 Grades'!$Q27="Graded",'Quiz 2 Grades'!K27,"")</f>
        <v/>
      </c>
      <c r="AK35" s="69" t="str">
        <f aca="false">IF(ISNUMBER(AB35),AB35-AC35,"")</f>
        <v/>
      </c>
      <c r="AL35" s="69" t="str">
        <f aca="false">IF(ISNUMBER(AB35),AB35-AD35,"")</f>
        <v/>
      </c>
      <c r="AM35" s="69" t="str">
        <f aca="false">IF(ISNUMBER(AB35),AB35-AE35,"")</f>
        <v/>
      </c>
      <c r="AN35" s="69" t="str">
        <f aca="false">IF(ISNUMBER(AB35),AB35-AF35,"")</f>
        <v/>
      </c>
      <c r="AO35" s="69" t="str">
        <f aca="false">IF(ISNUMBER(AB35),AB35-AG35,"")</f>
        <v/>
      </c>
      <c r="AP35" s="69" t="str">
        <f aca="false">IF(ISNUMBER(AB35),AB35-AH35,"")</f>
        <v/>
      </c>
      <c r="AQ35" s="69" t="str">
        <f aca="false">IF(ISNUMBER(AB35),AB35-AI35,"")</f>
        <v/>
      </c>
      <c r="AR35" s="69" t="str">
        <f aca="false">IF(ISNUMBER(AB35),AB35-AJ35,"")</f>
        <v/>
      </c>
    </row>
    <row r="36" customFormat="false" ht="14.25" hidden="false" customHeight="false" outlineLevel="0" collapsed="false">
      <c r="P36" s="65" t="n">
        <v>22</v>
      </c>
      <c r="Q36" s="65" t="e">
        <f aca="false">IF(P36&lt;=nGraded,SMALL(Totals,P36),NA())</f>
        <v>#N/A</v>
      </c>
      <c r="R36" s="66" t="str">
        <f aca="false">IF(P36&lt;=nGraded,(P36-0.375)/(nGraded+0.25),"")</f>
        <v/>
      </c>
      <c r="S36" s="66" t="str">
        <f aca="false">IF(P36&lt;=nGraded,NORMSINV(R36),"")</f>
        <v/>
      </c>
      <c r="T36" s="66" t="e">
        <f aca="false">IFERROR(IF(P36&lt;=nGraded,MeanScore+SDScore*S36,NA()),NA())</f>
        <v>#N/A</v>
      </c>
      <c r="U36" s="66" t="str">
        <f aca="false">IFERROR(IF(P36&gt;nGraded,"",IF(P36=nGraded,$Z$19,IF(P36=nGraded-1,$Z$20,IF(P36=1,-$Z$19,IF(P36=2,-$Z$20,S36/SQRT($Z$21)))))),"")</f>
        <v/>
      </c>
      <c r="V36" s="66" t="str">
        <f aca="false">IFERROR(IF(P36&lt;=nGraded,U36*Q36,""),"")</f>
        <v/>
      </c>
      <c r="W36" s="66" t="str">
        <f aca="false">IFERROR(IF(P36&lt;=nGraded,(2*P36-1)*(LN(NORMDIST(Q36,MeanScore,SDScore,TRUE()))+LN(1-NORMDIST(LARGE(Totals,P36),MeanScore,SDScore,TRUE()))),""),"")</f>
        <v/>
      </c>
      <c r="Y36" s="77" t="s">
        <v>447</v>
      </c>
      <c r="AB36" s="69" t="str">
        <f aca="false">IF('Quiz 2 Grades'!$Q28="Graded",'Quiz 2 Grades'!$M28,"")</f>
        <v/>
      </c>
      <c r="AC36" s="69" t="str">
        <f aca="false">IF('Quiz 2 Grades'!$Q28="Graded",'Quiz 2 Grades'!C28,"")</f>
        <v/>
      </c>
      <c r="AD36" s="69" t="str">
        <f aca="false">IF('Quiz 2 Grades'!$Q28="Graded",'Quiz 2 Grades'!D28,"")</f>
        <v/>
      </c>
      <c r="AE36" s="69" t="str">
        <f aca="false">IF('Quiz 2 Grades'!$Q28="Graded",'Quiz 2 Grades'!E28,"")</f>
        <v/>
      </c>
      <c r="AF36" s="69" t="str">
        <f aca="false">IF('Quiz 2 Grades'!$Q28="Graded",'Quiz 2 Grades'!F28,"")</f>
        <v/>
      </c>
      <c r="AG36" s="69" t="str">
        <f aca="false">IF('Quiz 2 Grades'!$Q28="Graded",'Quiz 2 Grades'!G28,"")</f>
        <v/>
      </c>
      <c r="AH36" s="69" t="str">
        <f aca="false">IF('Quiz 2 Grades'!$Q28="Graded",'Quiz 2 Grades'!I28,"")</f>
        <v/>
      </c>
      <c r="AI36" s="69" t="str">
        <f aca="false">IF('Quiz 2 Grades'!$Q28="Graded",'Quiz 2 Grades'!J28,"")</f>
        <v/>
      </c>
      <c r="AJ36" s="69" t="str">
        <f aca="false">IF('Quiz 2 Grades'!$Q28="Graded",'Quiz 2 Grades'!K28,"")</f>
        <v/>
      </c>
      <c r="AK36" s="69" t="str">
        <f aca="false">IF(ISNUMBER(AB36),AB36-AC36,"")</f>
        <v/>
      </c>
      <c r="AL36" s="69" t="str">
        <f aca="false">IF(ISNUMBER(AB36),AB36-AD36,"")</f>
        <v/>
      </c>
      <c r="AM36" s="69" t="str">
        <f aca="false">IF(ISNUMBER(AB36),AB36-AE36,"")</f>
        <v/>
      </c>
      <c r="AN36" s="69" t="str">
        <f aca="false">IF(ISNUMBER(AB36),AB36-AF36,"")</f>
        <v/>
      </c>
      <c r="AO36" s="69" t="str">
        <f aca="false">IF(ISNUMBER(AB36),AB36-AG36,"")</f>
        <v/>
      </c>
      <c r="AP36" s="69" t="str">
        <f aca="false">IF(ISNUMBER(AB36),AB36-AH36,"")</f>
        <v/>
      </c>
      <c r="AQ36" s="69" t="str">
        <f aca="false">IF(ISNUMBER(AB36),AB36-AI36,"")</f>
        <v/>
      </c>
      <c r="AR36" s="69" t="str">
        <f aca="false">IF(ISNUMBER(AB36),AB36-AJ36,"")</f>
        <v/>
      </c>
    </row>
    <row r="37" customFormat="false" ht="21.75" hidden="false" customHeight="true" outlineLevel="0" collapsed="false">
      <c r="A37" s="3" t="s">
        <v>448</v>
      </c>
      <c r="B37" s="3"/>
      <c r="C37" s="3"/>
      <c r="D37" s="3"/>
      <c r="E37" s="3"/>
      <c r="F37" s="3"/>
      <c r="G37" s="3"/>
      <c r="P37" s="65" t="n">
        <v>23</v>
      </c>
      <c r="Q37" s="65" t="e">
        <f aca="false">IF(P37&lt;=nGraded,SMALL(Totals,P37),NA())</f>
        <v>#N/A</v>
      </c>
      <c r="R37" s="66" t="str">
        <f aca="false">IF(P37&lt;=nGraded,(P37-0.375)/(nGraded+0.25),"")</f>
        <v/>
      </c>
      <c r="S37" s="66" t="str">
        <f aca="false">IF(P37&lt;=nGraded,NORMSINV(R37),"")</f>
        <v/>
      </c>
      <c r="T37" s="66" t="e">
        <f aca="false">IFERROR(IF(P37&lt;=nGraded,MeanScore+SDScore*S37,NA()),NA())</f>
        <v>#N/A</v>
      </c>
      <c r="U37" s="66" t="str">
        <f aca="false">IFERROR(IF(P37&gt;nGraded,"",IF(P37=nGraded,$Z$19,IF(P37=nGraded-1,$Z$20,IF(P37=1,-$Z$19,IF(P37=2,-$Z$20,S37/SQRT($Z$21)))))),"")</f>
        <v/>
      </c>
      <c r="V37" s="66" t="str">
        <f aca="false">IFERROR(IF(P37&lt;=nGraded,U37*Q37,""),"")</f>
        <v/>
      </c>
      <c r="W37" s="66" t="str">
        <f aca="false">IFERROR(IF(P37&lt;=nGraded,(2*P37-1)*(LN(NORMDIST(Q37,MeanScore,SDScore,TRUE()))+LN(1-NORMDIST(LARGE(Totals,P37),MeanScore,SDScore,TRUE()))),""),"")</f>
        <v/>
      </c>
      <c r="Y37" s="78" t="e">
        <f aca="false">IFERROR(MIN(Totals,MeanScore-3*SDScore),NA())</f>
        <v>#N/A</v>
      </c>
      <c r="Z37" s="78" t="e">
        <f aca="false">Y37</f>
        <v>#N/A</v>
      </c>
      <c r="AB37" s="69" t="str">
        <f aca="false">IF('Quiz 2 Grades'!$Q29="Graded",'Quiz 2 Grades'!$M29,"")</f>
        <v/>
      </c>
      <c r="AC37" s="69" t="str">
        <f aca="false">IF('Quiz 2 Grades'!$Q29="Graded",'Quiz 2 Grades'!C29,"")</f>
        <v/>
      </c>
      <c r="AD37" s="69" t="str">
        <f aca="false">IF('Quiz 2 Grades'!$Q29="Graded",'Quiz 2 Grades'!D29,"")</f>
        <v/>
      </c>
      <c r="AE37" s="69" t="str">
        <f aca="false">IF('Quiz 2 Grades'!$Q29="Graded",'Quiz 2 Grades'!E29,"")</f>
        <v/>
      </c>
      <c r="AF37" s="69" t="str">
        <f aca="false">IF('Quiz 2 Grades'!$Q29="Graded",'Quiz 2 Grades'!F29,"")</f>
        <v/>
      </c>
      <c r="AG37" s="69" t="str">
        <f aca="false">IF('Quiz 2 Grades'!$Q29="Graded",'Quiz 2 Grades'!G29,"")</f>
        <v/>
      </c>
      <c r="AH37" s="69" t="str">
        <f aca="false">IF('Quiz 2 Grades'!$Q29="Graded",'Quiz 2 Grades'!I29,"")</f>
        <v/>
      </c>
      <c r="AI37" s="69" t="str">
        <f aca="false">IF('Quiz 2 Grades'!$Q29="Graded",'Quiz 2 Grades'!J29,"")</f>
        <v/>
      </c>
      <c r="AJ37" s="69" t="str">
        <f aca="false">IF('Quiz 2 Grades'!$Q29="Graded",'Quiz 2 Grades'!K29,"")</f>
        <v/>
      </c>
      <c r="AK37" s="69" t="str">
        <f aca="false">IF(ISNUMBER(AB37),AB37-AC37,"")</f>
        <v/>
      </c>
      <c r="AL37" s="69" t="str">
        <f aca="false">IF(ISNUMBER(AB37),AB37-AD37,"")</f>
        <v/>
      </c>
      <c r="AM37" s="69" t="str">
        <f aca="false">IF(ISNUMBER(AB37),AB37-AE37,"")</f>
        <v/>
      </c>
      <c r="AN37" s="69" t="str">
        <f aca="false">IF(ISNUMBER(AB37),AB37-AF37,"")</f>
        <v/>
      </c>
      <c r="AO37" s="69" t="str">
        <f aca="false">IF(ISNUMBER(AB37),AB37-AG37,"")</f>
        <v/>
      </c>
      <c r="AP37" s="69" t="str">
        <f aca="false">IF(ISNUMBER(AB37),AB37-AH37,"")</f>
        <v/>
      </c>
      <c r="AQ37" s="69" t="str">
        <f aca="false">IF(ISNUMBER(AB37),AB37-AI37,"")</f>
        <v/>
      </c>
      <c r="AR37" s="69" t="str">
        <f aca="false">IF(ISNUMBER(AB37),AB37-AJ37,"")</f>
        <v/>
      </c>
    </row>
    <row r="38" customFormat="false" ht="30" hidden="false" customHeight="true" outlineLevel="0" collapsed="false">
      <c r="A38" s="11" t="s">
        <v>449</v>
      </c>
      <c r="B38" s="11" t="s">
        <v>338</v>
      </c>
      <c r="C38" s="11" t="s">
        <v>339</v>
      </c>
      <c r="D38" s="11" t="s">
        <v>450</v>
      </c>
      <c r="E38" s="11" t="s">
        <v>406</v>
      </c>
      <c r="F38" s="11" t="s">
        <v>451</v>
      </c>
      <c r="G38" s="11" t="s">
        <v>452</v>
      </c>
      <c r="P38" s="65" t="n">
        <v>24</v>
      </c>
      <c r="Q38" s="65" t="e">
        <f aca="false">IF(P38&lt;=nGraded,SMALL(Totals,P38),NA())</f>
        <v>#N/A</v>
      </c>
      <c r="R38" s="66" t="str">
        <f aca="false">IF(P38&lt;=nGraded,(P38-0.375)/(nGraded+0.25),"")</f>
        <v/>
      </c>
      <c r="S38" s="66" t="str">
        <f aca="false">IF(P38&lt;=nGraded,NORMSINV(R38),"")</f>
        <v/>
      </c>
      <c r="T38" s="66" t="e">
        <f aca="false">IFERROR(IF(P38&lt;=nGraded,MeanScore+SDScore*S38,NA()),NA())</f>
        <v>#N/A</v>
      </c>
      <c r="U38" s="66" t="str">
        <f aca="false">IFERROR(IF(P38&gt;nGraded,"",IF(P38=nGraded,$Z$19,IF(P38=nGraded-1,$Z$20,IF(P38=1,-$Z$19,IF(P38=2,-$Z$20,S38/SQRT($Z$21)))))),"")</f>
        <v/>
      </c>
      <c r="V38" s="66" t="str">
        <f aca="false">IFERROR(IF(P38&lt;=nGraded,U38*Q38,""),"")</f>
        <v/>
      </c>
      <c r="W38" s="66" t="str">
        <f aca="false">IFERROR(IF(P38&lt;=nGraded,(2*P38-1)*(LN(NORMDIST(Q38,MeanScore,SDScore,TRUE()))+LN(1-NORMDIST(LARGE(Totals,P38),MeanScore,SDScore,TRUE()))),""),"")</f>
        <v/>
      </c>
      <c r="Y38" s="78" t="e">
        <f aca="false">IFERROR(MAX(MaxScore,MeanScore+3*SDScore),NA())</f>
        <v>#N/A</v>
      </c>
      <c r="Z38" s="78" t="e">
        <f aca="false">Y38</f>
        <v>#N/A</v>
      </c>
      <c r="AB38" s="69" t="str">
        <f aca="false">IF('Quiz 2 Grades'!$Q30="Graded",'Quiz 2 Grades'!$M30,"")</f>
        <v/>
      </c>
      <c r="AC38" s="69" t="str">
        <f aca="false">IF('Quiz 2 Grades'!$Q30="Graded",'Quiz 2 Grades'!C30,"")</f>
        <v/>
      </c>
      <c r="AD38" s="69" t="str">
        <f aca="false">IF('Quiz 2 Grades'!$Q30="Graded",'Quiz 2 Grades'!D30,"")</f>
        <v/>
      </c>
      <c r="AE38" s="69" t="str">
        <f aca="false">IF('Quiz 2 Grades'!$Q30="Graded",'Quiz 2 Grades'!E30,"")</f>
        <v/>
      </c>
      <c r="AF38" s="69" t="str">
        <f aca="false">IF('Quiz 2 Grades'!$Q30="Graded",'Quiz 2 Grades'!F30,"")</f>
        <v/>
      </c>
      <c r="AG38" s="69" t="str">
        <f aca="false">IF('Quiz 2 Grades'!$Q30="Graded",'Quiz 2 Grades'!G30,"")</f>
        <v/>
      </c>
      <c r="AH38" s="69" t="str">
        <f aca="false">IF('Quiz 2 Grades'!$Q30="Graded",'Quiz 2 Grades'!I30,"")</f>
        <v/>
      </c>
      <c r="AI38" s="69" t="str">
        <f aca="false">IF('Quiz 2 Grades'!$Q30="Graded",'Quiz 2 Grades'!J30,"")</f>
        <v/>
      </c>
      <c r="AJ38" s="69" t="str">
        <f aca="false">IF('Quiz 2 Grades'!$Q30="Graded",'Quiz 2 Grades'!K30,"")</f>
        <v/>
      </c>
      <c r="AK38" s="69" t="str">
        <f aca="false">IF(ISNUMBER(AB38),AB38-AC38,"")</f>
        <v/>
      </c>
      <c r="AL38" s="69" t="str">
        <f aca="false">IF(ISNUMBER(AB38),AB38-AD38,"")</f>
        <v/>
      </c>
      <c r="AM38" s="69" t="str">
        <f aca="false">IF(ISNUMBER(AB38),AB38-AE38,"")</f>
        <v/>
      </c>
      <c r="AN38" s="69" t="str">
        <f aca="false">IF(ISNUMBER(AB38),AB38-AF38,"")</f>
        <v/>
      </c>
      <c r="AO38" s="69" t="str">
        <f aca="false">IF(ISNUMBER(AB38),AB38-AG38,"")</f>
        <v/>
      </c>
      <c r="AP38" s="69" t="str">
        <f aca="false">IF(ISNUMBER(AB38),AB38-AH38,"")</f>
        <v/>
      </c>
      <c r="AQ38" s="69" t="str">
        <f aca="false">IF(ISNUMBER(AB38),AB38-AI38,"")</f>
        <v/>
      </c>
      <c r="AR38" s="69" t="str">
        <f aca="false">IF(ISNUMBER(AB38),AB38-AJ38,"")</f>
        <v/>
      </c>
    </row>
    <row r="39" customFormat="false" ht="14.25" hidden="false" customHeight="false" outlineLevel="0" collapsed="false">
      <c r="A39" s="17" t="str">
        <f aca="false">B39&amp;"–"&amp;C39</f>
        <v>0–5</v>
      </c>
      <c r="B39" s="17" t="n">
        <v>0</v>
      </c>
      <c r="C39" s="17" t="n">
        <f aca="false">B39+5</f>
        <v>5</v>
      </c>
      <c r="D39" s="14" t="n">
        <f aca="false">(B39+C39)/2</f>
        <v>2.5</v>
      </c>
      <c r="E39" s="18" t="n">
        <f aca="false">COUNTIFS(Totals,"&gt;="&amp;B39,Totals,"&lt;"&amp;C39)</f>
        <v>0</v>
      </c>
      <c r="F39" s="14" t="str">
        <f aca="false">IFERROR(nGraded*(NORMDIST(C39,MeanScore,SDScore,TRUE())-NORMDIST(B39,MeanScore,SDScore,TRUE())),"")</f>
        <v/>
      </c>
      <c r="G39" s="79" t="str">
        <f aca="false">IFERROR(E39-F39,"")</f>
        <v/>
      </c>
      <c r="P39" s="65" t="n">
        <v>25</v>
      </c>
      <c r="Q39" s="65" t="e">
        <f aca="false">IF(P39&lt;=nGraded,SMALL(Totals,P39),NA())</f>
        <v>#N/A</v>
      </c>
      <c r="R39" s="66" t="str">
        <f aca="false">IF(P39&lt;=nGraded,(P39-0.375)/(nGraded+0.25),"")</f>
        <v/>
      </c>
      <c r="S39" s="66" t="str">
        <f aca="false">IF(P39&lt;=nGraded,NORMSINV(R39),"")</f>
        <v/>
      </c>
      <c r="T39" s="66" t="e">
        <f aca="false">IFERROR(IF(P39&lt;=nGraded,MeanScore+SDScore*S39,NA()),NA())</f>
        <v>#N/A</v>
      </c>
      <c r="U39" s="66" t="str">
        <f aca="false">IFERROR(IF(P39&gt;nGraded,"",IF(P39=nGraded,$Z$19,IF(P39=nGraded-1,$Z$20,IF(P39=1,-$Z$19,IF(P39=2,-$Z$20,S39/SQRT($Z$21)))))),"")</f>
        <v/>
      </c>
      <c r="V39" s="66" t="str">
        <f aca="false">IFERROR(IF(P39&lt;=nGraded,U39*Q39,""),"")</f>
        <v/>
      </c>
      <c r="W39" s="66" t="str">
        <f aca="false">IFERROR(IF(P39&lt;=nGraded,(2*P39-1)*(LN(NORMDIST(Q39,MeanScore,SDScore,TRUE()))+LN(1-NORMDIST(LARGE(Totals,P39),MeanScore,SDScore,TRUE()))),""),"")</f>
        <v/>
      </c>
      <c r="AB39" s="69" t="str">
        <f aca="false">IF('Quiz 2 Grades'!$Q31="Graded",'Quiz 2 Grades'!$M31,"")</f>
        <v/>
      </c>
      <c r="AC39" s="69" t="str">
        <f aca="false">IF('Quiz 2 Grades'!$Q31="Graded",'Quiz 2 Grades'!C31,"")</f>
        <v/>
      </c>
      <c r="AD39" s="69" t="str">
        <f aca="false">IF('Quiz 2 Grades'!$Q31="Graded",'Quiz 2 Grades'!D31,"")</f>
        <v/>
      </c>
      <c r="AE39" s="69" t="str">
        <f aca="false">IF('Quiz 2 Grades'!$Q31="Graded",'Quiz 2 Grades'!E31,"")</f>
        <v/>
      </c>
      <c r="AF39" s="69" t="str">
        <f aca="false">IF('Quiz 2 Grades'!$Q31="Graded",'Quiz 2 Grades'!F31,"")</f>
        <v/>
      </c>
      <c r="AG39" s="69" t="str">
        <f aca="false">IF('Quiz 2 Grades'!$Q31="Graded",'Quiz 2 Grades'!G31,"")</f>
        <v/>
      </c>
      <c r="AH39" s="69" t="str">
        <f aca="false">IF('Quiz 2 Grades'!$Q31="Graded",'Quiz 2 Grades'!I31,"")</f>
        <v/>
      </c>
      <c r="AI39" s="69" t="str">
        <f aca="false">IF('Quiz 2 Grades'!$Q31="Graded",'Quiz 2 Grades'!J31,"")</f>
        <v/>
      </c>
      <c r="AJ39" s="69" t="str">
        <f aca="false">IF('Quiz 2 Grades'!$Q31="Graded",'Quiz 2 Grades'!K31,"")</f>
        <v/>
      </c>
      <c r="AK39" s="69" t="str">
        <f aca="false">IF(ISNUMBER(AB39),AB39-AC39,"")</f>
        <v/>
      </c>
      <c r="AL39" s="69" t="str">
        <f aca="false">IF(ISNUMBER(AB39),AB39-AD39,"")</f>
        <v/>
      </c>
      <c r="AM39" s="69" t="str">
        <f aca="false">IF(ISNUMBER(AB39),AB39-AE39,"")</f>
        <v/>
      </c>
      <c r="AN39" s="69" t="str">
        <f aca="false">IF(ISNUMBER(AB39),AB39-AF39,"")</f>
        <v/>
      </c>
      <c r="AO39" s="69" t="str">
        <f aca="false">IF(ISNUMBER(AB39),AB39-AG39,"")</f>
        <v/>
      </c>
      <c r="AP39" s="69" t="str">
        <f aca="false">IF(ISNUMBER(AB39),AB39-AH39,"")</f>
        <v/>
      </c>
      <c r="AQ39" s="69" t="str">
        <f aca="false">IF(ISNUMBER(AB39),AB39-AI39,"")</f>
        <v/>
      </c>
      <c r="AR39" s="69" t="str">
        <f aca="false">IF(ISNUMBER(AB39),AB39-AJ39,"")</f>
        <v/>
      </c>
    </row>
    <row r="40" customFormat="false" ht="14.25" hidden="false" customHeight="false" outlineLevel="0" collapsed="false">
      <c r="A40" s="17" t="str">
        <f aca="false">B40&amp;"–"&amp;C40</f>
        <v>5–10</v>
      </c>
      <c r="B40" s="17" t="n">
        <v>5</v>
      </c>
      <c r="C40" s="17" t="n">
        <f aca="false">B40+5</f>
        <v>10</v>
      </c>
      <c r="D40" s="14" t="n">
        <f aca="false">(B40+C40)/2</f>
        <v>7.5</v>
      </c>
      <c r="E40" s="18" t="n">
        <f aca="false">COUNTIFS(Totals,"&gt;="&amp;B40,Totals,"&lt;"&amp;C40)</f>
        <v>0</v>
      </c>
      <c r="F40" s="14" t="str">
        <f aca="false">IFERROR(nGraded*(NORMDIST(C40,MeanScore,SDScore,TRUE())-NORMDIST(B40,MeanScore,SDScore,TRUE())),"")</f>
        <v/>
      </c>
      <c r="G40" s="79" t="str">
        <f aca="false">IFERROR(E40-F40,"")</f>
        <v/>
      </c>
      <c r="P40" s="65" t="n">
        <v>26</v>
      </c>
      <c r="Q40" s="65" t="e">
        <f aca="false">IF(P40&lt;=nGraded,SMALL(Totals,P40),NA())</f>
        <v>#N/A</v>
      </c>
      <c r="R40" s="66" t="str">
        <f aca="false">IF(P40&lt;=nGraded,(P40-0.375)/(nGraded+0.25),"")</f>
        <v/>
      </c>
      <c r="S40" s="66" t="str">
        <f aca="false">IF(P40&lt;=nGraded,NORMSINV(R40),"")</f>
        <v/>
      </c>
      <c r="T40" s="66" t="e">
        <f aca="false">IFERROR(IF(P40&lt;=nGraded,MeanScore+SDScore*S40,NA()),NA())</f>
        <v>#N/A</v>
      </c>
      <c r="U40" s="66" t="str">
        <f aca="false">IFERROR(IF(P40&gt;nGraded,"",IF(P40=nGraded,$Z$19,IF(P40=nGraded-1,$Z$20,IF(P40=1,-$Z$19,IF(P40=2,-$Z$20,S40/SQRT($Z$21)))))),"")</f>
        <v/>
      </c>
      <c r="V40" s="66" t="str">
        <f aca="false">IFERROR(IF(P40&lt;=nGraded,U40*Q40,""),"")</f>
        <v/>
      </c>
      <c r="W40" s="66" t="str">
        <f aca="false">IFERROR(IF(P40&lt;=nGraded,(2*P40-1)*(LN(NORMDIST(Q40,MeanScore,SDScore,TRUE()))+LN(1-NORMDIST(LARGE(Totals,P40),MeanScore,SDScore,TRUE()))),""),"")</f>
        <v/>
      </c>
      <c r="AB40" s="69" t="str">
        <f aca="false">IF('Quiz 2 Grades'!$Q32="Graded",'Quiz 2 Grades'!$M32,"")</f>
        <v/>
      </c>
      <c r="AC40" s="69" t="str">
        <f aca="false">IF('Quiz 2 Grades'!$Q32="Graded",'Quiz 2 Grades'!C32,"")</f>
        <v/>
      </c>
      <c r="AD40" s="69" t="str">
        <f aca="false">IF('Quiz 2 Grades'!$Q32="Graded",'Quiz 2 Grades'!D32,"")</f>
        <v/>
      </c>
      <c r="AE40" s="69" t="str">
        <f aca="false">IF('Quiz 2 Grades'!$Q32="Graded",'Quiz 2 Grades'!E32,"")</f>
        <v/>
      </c>
      <c r="AF40" s="69" t="str">
        <f aca="false">IF('Quiz 2 Grades'!$Q32="Graded",'Quiz 2 Grades'!F32,"")</f>
        <v/>
      </c>
      <c r="AG40" s="69" t="str">
        <f aca="false">IF('Quiz 2 Grades'!$Q32="Graded",'Quiz 2 Grades'!G32,"")</f>
        <v/>
      </c>
      <c r="AH40" s="69" t="str">
        <f aca="false">IF('Quiz 2 Grades'!$Q32="Graded",'Quiz 2 Grades'!I32,"")</f>
        <v/>
      </c>
      <c r="AI40" s="69" t="str">
        <f aca="false">IF('Quiz 2 Grades'!$Q32="Graded",'Quiz 2 Grades'!J32,"")</f>
        <v/>
      </c>
      <c r="AJ40" s="69" t="str">
        <f aca="false">IF('Quiz 2 Grades'!$Q32="Graded",'Quiz 2 Grades'!K32,"")</f>
        <v/>
      </c>
      <c r="AK40" s="69" t="str">
        <f aca="false">IF(ISNUMBER(AB40),AB40-AC40,"")</f>
        <v/>
      </c>
      <c r="AL40" s="69" t="str">
        <f aca="false">IF(ISNUMBER(AB40),AB40-AD40,"")</f>
        <v/>
      </c>
      <c r="AM40" s="69" t="str">
        <f aca="false">IF(ISNUMBER(AB40),AB40-AE40,"")</f>
        <v/>
      </c>
      <c r="AN40" s="69" t="str">
        <f aca="false">IF(ISNUMBER(AB40),AB40-AF40,"")</f>
        <v/>
      </c>
      <c r="AO40" s="69" t="str">
        <f aca="false">IF(ISNUMBER(AB40),AB40-AG40,"")</f>
        <v/>
      </c>
      <c r="AP40" s="69" t="str">
        <f aca="false">IF(ISNUMBER(AB40),AB40-AH40,"")</f>
        <v/>
      </c>
      <c r="AQ40" s="69" t="str">
        <f aca="false">IF(ISNUMBER(AB40),AB40-AI40,"")</f>
        <v/>
      </c>
      <c r="AR40" s="69" t="str">
        <f aca="false">IF(ISNUMBER(AB40),AB40-AJ40,"")</f>
        <v/>
      </c>
    </row>
    <row r="41" customFormat="false" ht="14.25" hidden="false" customHeight="false" outlineLevel="0" collapsed="false">
      <c r="A41" s="17" t="str">
        <f aca="false">B41&amp;"–"&amp;C41</f>
        <v>10–15</v>
      </c>
      <c r="B41" s="17" t="n">
        <v>10</v>
      </c>
      <c r="C41" s="17" t="n">
        <f aca="false">B41+5</f>
        <v>15</v>
      </c>
      <c r="D41" s="14" t="n">
        <f aca="false">(B41+C41)/2</f>
        <v>12.5</v>
      </c>
      <c r="E41" s="18" t="n">
        <f aca="false">COUNTIFS(Totals,"&gt;="&amp;B41,Totals,"&lt;"&amp;C41)</f>
        <v>0</v>
      </c>
      <c r="F41" s="14" t="str">
        <f aca="false">IFERROR(nGraded*(NORMDIST(C41,MeanScore,SDScore,TRUE())-NORMDIST(B41,MeanScore,SDScore,TRUE())),"")</f>
        <v/>
      </c>
      <c r="G41" s="79" t="str">
        <f aca="false">IFERROR(E41-F41,"")</f>
        <v/>
      </c>
      <c r="P41" s="65" t="n">
        <v>27</v>
      </c>
      <c r="Q41" s="65" t="e">
        <f aca="false">IF(P41&lt;=nGraded,SMALL(Totals,P41),NA())</f>
        <v>#N/A</v>
      </c>
      <c r="R41" s="66" t="str">
        <f aca="false">IF(P41&lt;=nGraded,(P41-0.375)/(nGraded+0.25),"")</f>
        <v/>
      </c>
      <c r="S41" s="66" t="str">
        <f aca="false">IF(P41&lt;=nGraded,NORMSINV(R41),"")</f>
        <v/>
      </c>
      <c r="T41" s="66" t="e">
        <f aca="false">IFERROR(IF(P41&lt;=nGraded,MeanScore+SDScore*S41,NA()),NA())</f>
        <v>#N/A</v>
      </c>
      <c r="U41" s="66" t="str">
        <f aca="false">IFERROR(IF(P41&gt;nGraded,"",IF(P41=nGraded,$Z$19,IF(P41=nGraded-1,$Z$20,IF(P41=1,-$Z$19,IF(P41=2,-$Z$20,S41/SQRT($Z$21)))))),"")</f>
        <v/>
      </c>
      <c r="V41" s="66" t="str">
        <f aca="false">IFERROR(IF(P41&lt;=nGraded,U41*Q41,""),"")</f>
        <v/>
      </c>
      <c r="W41" s="66" t="str">
        <f aca="false">IFERROR(IF(P41&lt;=nGraded,(2*P41-1)*(LN(NORMDIST(Q41,MeanScore,SDScore,TRUE()))+LN(1-NORMDIST(LARGE(Totals,P41),MeanScore,SDScore,TRUE()))),""),"")</f>
        <v/>
      </c>
      <c r="AB41" s="69" t="str">
        <f aca="false">IF('Quiz 2 Grades'!$Q33="Graded",'Quiz 2 Grades'!$M33,"")</f>
        <v/>
      </c>
      <c r="AC41" s="69" t="str">
        <f aca="false">IF('Quiz 2 Grades'!$Q33="Graded",'Quiz 2 Grades'!C33,"")</f>
        <v/>
      </c>
      <c r="AD41" s="69" t="str">
        <f aca="false">IF('Quiz 2 Grades'!$Q33="Graded",'Quiz 2 Grades'!D33,"")</f>
        <v/>
      </c>
      <c r="AE41" s="69" t="str">
        <f aca="false">IF('Quiz 2 Grades'!$Q33="Graded",'Quiz 2 Grades'!E33,"")</f>
        <v/>
      </c>
      <c r="AF41" s="69" t="str">
        <f aca="false">IF('Quiz 2 Grades'!$Q33="Graded",'Quiz 2 Grades'!F33,"")</f>
        <v/>
      </c>
      <c r="AG41" s="69" t="str">
        <f aca="false">IF('Quiz 2 Grades'!$Q33="Graded",'Quiz 2 Grades'!G33,"")</f>
        <v/>
      </c>
      <c r="AH41" s="69" t="str">
        <f aca="false">IF('Quiz 2 Grades'!$Q33="Graded",'Quiz 2 Grades'!I33,"")</f>
        <v/>
      </c>
      <c r="AI41" s="69" t="str">
        <f aca="false">IF('Quiz 2 Grades'!$Q33="Graded",'Quiz 2 Grades'!J33,"")</f>
        <v/>
      </c>
      <c r="AJ41" s="69" t="str">
        <f aca="false">IF('Quiz 2 Grades'!$Q33="Graded",'Quiz 2 Grades'!K33,"")</f>
        <v/>
      </c>
      <c r="AK41" s="69" t="str">
        <f aca="false">IF(ISNUMBER(AB41),AB41-AC41,"")</f>
        <v/>
      </c>
      <c r="AL41" s="69" t="str">
        <f aca="false">IF(ISNUMBER(AB41),AB41-AD41,"")</f>
        <v/>
      </c>
      <c r="AM41" s="69" t="str">
        <f aca="false">IF(ISNUMBER(AB41),AB41-AE41,"")</f>
        <v/>
      </c>
      <c r="AN41" s="69" t="str">
        <f aca="false">IF(ISNUMBER(AB41),AB41-AF41,"")</f>
        <v/>
      </c>
      <c r="AO41" s="69" t="str">
        <f aca="false">IF(ISNUMBER(AB41),AB41-AG41,"")</f>
        <v/>
      </c>
      <c r="AP41" s="69" t="str">
        <f aca="false">IF(ISNUMBER(AB41),AB41-AH41,"")</f>
        <v/>
      </c>
      <c r="AQ41" s="69" t="str">
        <f aca="false">IF(ISNUMBER(AB41),AB41-AI41,"")</f>
        <v/>
      </c>
      <c r="AR41" s="69" t="str">
        <f aca="false">IF(ISNUMBER(AB41),AB41-AJ41,"")</f>
        <v/>
      </c>
    </row>
    <row r="42" customFormat="false" ht="14.25" hidden="false" customHeight="false" outlineLevel="0" collapsed="false">
      <c r="A42" s="17" t="str">
        <f aca="false">B42&amp;"–"&amp;C42</f>
        <v>15–20</v>
      </c>
      <c r="B42" s="17" t="n">
        <v>15</v>
      </c>
      <c r="C42" s="17" t="n">
        <f aca="false">B42+5</f>
        <v>20</v>
      </c>
      <c r="D42" s="14" t="n">
        <f aca="false">(B42+C42)/2</f>
        <v>17.5</v>
      </c>
      <c r="E42" s="18" t="n">
        <f aca="false">COUNTIFS(Totals,"&gt;="&amp;B42,Totals,"&lt;"&amp;C42)</f>
        <v>0</v>
      </c>
      <c r="F42" s="14" t="str">
        <f aca="false">IFERROR(nGraded*(NORMDIST(C42,MeanScore,SDScore,TRUE())-NORMDIST(B42,MeanScore,SDScore,TRUE())),"")</f>
        <v/>
      </c>
      <c r="G42" s="79" t="str">
        <f aca="false">IFERROR(E42-F42,"")</f>
        <v/>
      </c>
      <c r="P42" s="65" t="n">
        <v>28</v>
      </c>
      <c r="Q42" s="65" t="e">
        <f aca="false">IF(P42&lt;=nGraded,SMALL(Totals,P42),NA())</f>
        <v>#N/A</v>
      </c>
      <c r="R42" s="66" t="str">
        <f aca="false">IF(P42&lt;=nGraded,(P42-0.375)/(nGraded+0.25),"")</f>
        <v/>
      </c>
      <c r="S42" s="66" t="str">
        <f aca="false">IF(P42&lt;=nGraded,NORMSINV(R42),"")</f>
        <v/>
      </c>
      <c r="T42" s="66" t="e">
        <f aca="false">IFERROR(IF(P42&lt;=nGraded,MeanScore+SDScore*S42,NA()),NA())</f>
        <v>#N/A</v>
      </c>
      <c r="U42" s="66" t="str">
        <f aca="false">IFERROR(IF(P42&gt;nGraded,"",IF(P42=nGraded,$Z$19,IF(P42=nGraded-1,$Z$20,IF(P42=1,-$Z$19,IF(P42=2,-$Z$20,S42/SQRT($Z$21)))))),"")</f>
        <v/>
      </c>
      <c r="V42" s="66" t="str">
        <f aca="false">IFERROR(IF(P42&lt;=nGraded,U42*Q42,""),"")</f>
        <v/>
      </c>
      <c r="W42" s="66" t="str">
        <f aca="false">IFERROR(IF(P42&lt;=nGraded,(2*P42-1)*(LN(NORMDIST(Q42,MeanScore,SDScore,TRUE()))+LN(1-NORMDIST(LARGE(Totals,P42),MeanScore,SDScore,TRUE()))),""),"")</f>
        <v/>
      </c>
      <c r="AB42" s="69" t="str">
        <f aca="false">IF('Quiz 2 Grades'!$Q34="Graded",'Quiz 2 Grades'!$M34,"")</f>
        <v/>
      </c>
      <c r="AC42" s="69" t="str">
        <f aca="false">IF('Quiz 2 Grades'!$Q34="Graded",'Quiz 2 Grades'!C34,"")</f>
        <v/>
      </c>
      <c r="AD42" s="69" t="str">
        <f aca="false">IF('Quiz 2 Grades'!$Q34="Graded",'Quiz 2 Grades'!D34,"")</f>
        <v/>
      </c>
      <c r="AE42" s="69" t="str">
        <f aca="false">IF('Quiz 2 Grades'!$Q34="Graded",'Quiz 2 Grades'!E34,"")</f>
        <v/>
      </c>
      <c r="AF42" s="69" t="str">
        <f aca="false">IF('Quiz 2 Grades'!$Q34="Graded",'Quiz 2 Grades'!F34,"")</f>
        <v/>
      </c>
      <c r="AG42" s="69" t="str">
        <f aca="false">IF('Quiz 2 Grades'!$Q34="Graded",'Quiz 2 Grades'!G34,"")</f>
        <v/>
      </c>
      <c r="AH42" s="69" t="str">
        <f aca="false">IF('Quiz 2 Grades'!$Q34="Graded",'Quiz 2 Grades'!I34,"")</f>
        <v/>
      </c>
      <c r="AI42" s="69" t="str">
        <f aca="false">IF('Quiz 2 Grades'!$Q34="Graded",'Quiz 2 Grades'!J34,"")</f>
        <v/>
      </c>
      <c r="AJ42" s="69" t="str">
        <f aca="false">IF('Quiz 2 Grades'!$Q34="Graded",'Quiz 2 Grades'!K34,"")</f>
        <v/>
      </c>
      <c r="AK42" s="69" t="str">
        <f aca="false">IF(ISNUMBER(AB42),AB42-AC42,"")</f>
        <v/>
      </c>
      <c r="AL42" s="69" t="str">
        <f aca="false">IF(ISNUMBER(AB42),AB42-AD42,"")</f>
        <v/>
      </c>
      <c r="AM42" s="69" t="str">
        <f aca="false">IF(ISNUMBER(AB42),AB42-AE42,"")</f>
        <v/>
      </c>
      <c r="AN42" s="69" t="str">
        <f aca="false">IF(ISNUMBER(AB42),AB42-AF42,"")</f>
        <v/>
      </c>
      <c r="AO42" s="69" t="str">
        <f aca="false">IF(ISNUMBER(AB42),AB42-AG42,"")</f>
        <v/>
      </c>
      <c r="AP42" s="69" t="str">
        <f aca="false">IF(ISNUMBER(AB42),AB42-AH42,"")</f>
        <v/>
      </c>
      <c r="AQ42" s="69" t="str">
        <f aca="false">IF(ISNUMBER(AB42),AB42-AI42,"")</f>
        <v/>
      </c>
      <c r="AR42" s="69" t="str">
        <f aca="false">IF(ISNUMBER(AB42),AB42-AJ42,"")</f>
        <v/>
      </c>
    </row>
    <row r="43" customFormat="false" ht="14.25" hidden="false" customHeight="false" outlineLevel="0" collapsed="false">
      <c r="A43" s="17" t="str">
        <f aca="false">B43&amp;"–"&amp;C43</f>
        <v>20–25</v>
      </c>
      <c r="B43" s="17" t="n">
        <v>20</v>
      </c>
      <c r="C43" s="17" t="n">
        <f aca="false">B43+5</f>
        <v>25</v>
      </c>
      <c r="D43" s="14" t="n">
        <f aca="false">(B43+C43)/2</f>
        <v>22.5</v>
      </c>
      <c r="E43" s="18" t="n">
        <f aca="false">COUNTIFS(Totals,"&gt;="&amp;B43,Totals,"&lt;"&amp;C43)</f>
        <v>0</v>
      </c>
      <c r="F43" s="14" t="str">
        <f aca="false">IFERROR(nGraded*(NORMDIST(C43,MeanScore,SDScore,TRUE())-NORMDIST(B43,MeanScore,SDScore,TRUE())),"")</f>
        <v/>
      </c>
      <c r="G43" s="79" t="str">
        <f aca="false">IFERROR(E43-F43,"")</f>
        <v/>
      </c>
      <c r="P43" s="65" t="n">
        <v>29</v>
      </c>
      <c r="Q43" s="65" t="e">
        <f aca="false">IF(P43&lt;=nGraded,SMALL(Totals,P43),NA())</f>
        <v>#N/A</v>
      </c>
      <c r="R43" s="66" t="str">
        <f aca="false">IF(P43&lt;=nGraded,(P43-0.375)/(nGraded+0.25),"")</f>
        <v/>
      </c>
      <c r="S43" s="66" t="str">
        <f aca="false">IF(P43&lt;=nGraded,NORMSINV(R43),"")</f>
        <v/>
      </c>
      <c r="T43" s="66" t="e">
        <f aca="false">IFERROR(IF(P43&lt;=nGraded,MeanScore+SDScore*S43,NA()),NA())</f>
        <v>#N/A</v>
      </c>
      <c r="U43" s="66" t="str">
        <f aca="false">IFERROR(IF(P43&gt;nGraded,"",IF(P43=nGraded,$Z$19,IF(P43=nGraded-1,$Z$20,IF(P43=1,-$Z$19,IF(P43=2,-$Z$20,S43/SQRT($Z$21)))))),"")</f>
        <v/>
      </c>
      <c r="V43" s="66" t="str">
        <f aca="false">IFERROR(IF(P43&lt;=nGraded,U43*Q43,""),"")</f>
        <v/>
      </c>
      <c r="W43" s="66" t="str">
        <f aca="false">IFERROR(IF(P43&lt;=nGraded,(2*P43-1)*(LN(NORMDIST(Q43,MeanScore,SDScore,TRUE()))+LN(1-NORMDIST(LARGE(Totals,P43),MeanScore,SDScore,TRUE()))),""),"")</f>
        <v/>
      </c>
      <c r="AB43" s="69" t="str">
        <f aca="false">IF('Quiz 2 Grades'!$Q35="Graded",'Quiz 2 Grades'!$M35,"")</f>
        <v/>
      </c>
      <c r="AC43" s="69" t="str">
        <f aca="false">IF('Quiz 2 Grades'!$Q35="Graded",'Quiz 2 Grades'!C35,"")</f>
        <v/>
      </c>
      <c r="AD43" s="69" t="str">
        <f aca="false">IF('Quiz 2 Grades'!$Q35="Graded",'Quiz 2 Grades'!D35,"")</f>
        <v/>
      </c>
      <c r="AE43" s="69" t="str">
        <f aca="false">IF('Quiz 2 Grades'!$Q35="Graded",'Quiz 2 Grades'!E35,"")</f>
        <v/>
      </c>
      <c r="AF43" s="69" t="str">
        <f aca="false">IF('Quiz 2 Grades'!$Q35="Graded",'Quiz 2 Grades'!F35,"")</f>
        <v/>
      </c>
      <c r="AG43" s="69" t="str">
        <f aca="false">IF('Quiz 2 Grades'!$Q35="Graded",'Quiz 2 Grades'!G35,"")</f>
        <v/>
      </c>
      <c r="AH43" s="69" t="str">
        <f aca="false">IF('Quiz 2 Grades'!$Q35="Graded",'Quiz 2 Grades'!I35,"")</f>
        <v/>
      </c>
      <c r="AI43" s="69" t="str">
        <f aca="false">IF('Quiz 2 Grades'!$Q35="Graded",'Quiz 2 Grades'!J35,"")</f>
        <v/>
      </c>
      <c r="AJ43" s="69" t="str">
        <f aca="false">IF('Quiz 2 Grades'!$Q35="Graded",'Quiz 2 Grades'!K35,"")</f>
        <v/>
      </c>
      <c r="AK43" s="69" t="str">
        <f aca="false">IF(ISNUMBER(AB43),AB43-AC43,"")</f>
        <v/>
      </c>
      <c r="AL43" s="69" t="str">
        <f aca="false">IF(ISNUMBER(AB43),AB43-AD43,"")</f>
        <v/>
      </c>
      <c r="AM43" s="69" t="str">
        <f aca="false">IF(ISNUMBER(AB43),AB43-AE43,"")</f>
        <v/>
      </c>
      <c r="AN43" s="69" t="str">
        <f aca="false">IF(ISNUMBER(AB43),AB43-AF43,"")</f>
        <v/>
      </c>
      <c r="AO43" s="69" t="str">
        <f aca="false">IF(ISNUMBER(AB43),AB43-AG43,"")</f>
        <v/>
      </c>
      <c r="AP43" s="69" t="str">
        <f aca="false">IF(ISNUMBER(AB43),AB43-AH43,"")</f>
        <v/>
      </c>
      <c r="AQ43" s="69" t="str">
        <f aca="false">IF(ISNUMBER(AB43),AB43-AI43,"")</f>
        <v/>
      </c>
      <c r="AR43" s="69" t="str">
        <f aca="false">IF(ISNUMBER(AB43),AB43-AJ43,"")</f>
        <v/>
      </c>
    </row>
    <row r="44" customFormat="false" ht="14.25" hidden="false" customHeight="false" outlineLevel="0" collapsed="false">
      <c r="A44" s="17" t="str">
        <f aca="false">B44&amp;"–"&amp;C44</f>
        <v>25–30</v>
      </c>
      <c r="B44" s="17" t="n">
        <v>25</v>
      </c>
      <c r="C44" s="17" t="n">
        <f aca="false">B44+5</f>
        <v>30</v>
      </c>
      <c r="D44" s="14" t="n">
        <f aca="false">(B44+C44)/2</f>
        <v>27.5</v>
      </c>
      <c r="E44" s="18" t="n">
        <f aca="false">COUNTIFS(Totals,"&gt;="&amp;B44,Totals,"&lt;"&amp;C44)</f>
        <v>0</v>
      </c>
      <c r="F44" s="14" t="str">
        <f aca="false">IFERROR(nGraded*(NORMDIST(C44,MeanScore,SDScore,TRUE())-NORMDIST(B44,MeanScore,SDScore,TRUE())),"")</f>
        <v/>
      </c>
      <c r="G44" s="79" t="str">
        <f aca="false">IFERROR(E44-F44,"")</f>
        <v/>
      </c>
      <c r="P44" s="65" t="n">
        <v>30</v>
      </c>
      <c r="Q44" s="65" t="e">
        <f aca="false">IF(P44&lt;=nGraded,SMALL(Totals,P44),NA())</f>
        <v>#N/A</v>
      </c>
      <c r="R44" s="66" t="str">
        <f aca="false">IF(P44&lt;=nGraded,(P44-0.375)/(nGraded+0.25),"")</f>
        <v/>
      </c>
      <c r="S44" s="66" t="str">
        <f aca="false">IF(P44&lt;=nGraded,NORMSINV(R44),"")</f>
        <v/>
      </c>
      <c r="T44" s="66" t="e">
        <f aca="false">IFERROR(IF(P44&lt;=nGraded,MeanScore+SDScore*S44,NA()),NA())</f>
        <v>#N/A</v>
      </c>
      <c r="U44" s="66" t="str">
        <f aca="false">IFERROR(IF(P44&gt;nGraded,"",IF(P44=nGraded,$Z$19,IF(P44=nGraded-1,$Z$20,IF(P44=1,-$Z$19,IF(P44=2,-$Z$20,S44/SQRT($Z$21)))))),"")</f>
        <v/>
      </c>
      <c r="V44" s="66" t="str">
        <f aca="false">IFERROR(IF(P44&lt;=nGraded,U44*Q44,""),"")</f>
        <v/>
      </c>
      <c r="W44" s="66" t="str">
        <f aca="false">IFERROR(IF(P44&lt;=nGraded,(2*P44-1)*(LN(NORMDIST(Q44,MeanScore,SDScore,TRUE()))+LN(1-NORMDIST(LARGE(Totals,P44),MeanScore,SDScore,TRUE()))),""),"")</f>
        <v/>
      </c>
      <c r="AB44" s="69" t="str">
        <f aca="false">IF('Quiz 2 Grades'!$Q36="Graded",'Quiz 2 Grades'!$M36,"")</f>
        <v/>
      </c>
      <c r="AC44" s="69" t="str">
        <f aca="false">IF('Quiz 2 Grades'!$Q36="Graded",'Quiz 2 Grades'!C36,"")</f>
        <v/>
      </c>
      <c r="AD44" s="69" t="str">
        <f aca="false">IF('Quiz 2 Grades'!$Q36="Graded",'Quiz 2 Grades'!D36,"")</f>
        <v/>
      </c>
      <c r="AE44" s="69" t="str">
        <f aca="false">IF('Quiz 2 Grades'!$Q36="Graded",'Quiz 2 Grades'!E36,"")</f>
        <v/>
      </c>
      <c r="AF44" s="69" t="str">
        <f aca="false">IF('Quiz 2 Grades'!$Q36="Graded",'Quiz 2 Grades'!F36,"")</f>
        <v/>
      </c>
      <c r="AG44" s="69" t="str">
        <f aca="false">IF('Quiz 2 Grades'!$Q36="Graded",'Quiz 2 Grades'!G36,"")</f>
        <v/>
      </c>
      <c r="AH44" s="69" t="str">
        <f aca="false">IF('Quiz 2 Grades'!$Q36="Graded",'Quiz 2 Grades'!I36,"")</f>
        <v/>
      </c>
      <c r="AI44" s="69" t="str">
        <f aca="false">IF('Quiz 2 Grades'!$Q36="Graded",'Quiz 2 Grades'!J36,"")</f>
        <v/>
      </c>
      <c r="AJ44" s="69" t="str">
        <f aca="false">IF('Quiz 2 Grades'!$Q36="Graded",'Quiz 2 Grades'!K36,"")</f>
        <v/>
      </c>
      <c r="AK44" s="69" t="str">
        <f aca="false">IF(ISNUMBER(AB44),AB44-AC44,"")</f>
        <v/>
      </c>
      <c r="AL44" s="69" t="str">
        <f aca="false">IF(ISNUMBER(AB44),AB44-AD44,"")</f>
        <v/>
      </c>
      <c r="AM44" s="69" t="str">
        <f aca="false">IF(ISNUMBER(AB44),AB44-AE44,"")</f>
        <v/>
      </c>
      <c r="AN44" s="69" t="str">
        <f aca="false">IF(ISNUMBER(AB44),AB44-AF44,"")</f>
        <v/>
      </c>
      <c r="AO44" s="69" t="str">
        <f aca="false">IF(ISNUMBER(AB44),AB44-AG44,"")</f>
        <v/>
      </c>
      <c r="AP44" s="69" t="str">
        <f aca="false">IF(ISNUMBER(AB44),AB44-AH44,"")</f>
        <v/>
      </c>
      <c r="AQ44" s="69" t="str">
        <f aca="false">IF(ISNUMBER(AB44),AB44-AI44,"")</f>
        <v/>
      </c>
      <c r="AR44" s="69" t="str">
        <f aca="false">IF(ISNUMBER(AB44),AB44-AJ44,"")</f>
        <v/>
      </c>
    </row>
    <row r="45" customFormat="false" ht="14.25" hidden="false" customHeight="false" outlineLevel="0" collapsed="false">
      <c r="A45" s="17" t="str">
        <f aca="false">B45&amp;"–"&amp;C45</f>
        <v>30–35</v>
      </c>
      <c r="B45" s="17" t="n">
        <v>30</v>
      </c>
      <c r="C45" s="17" t="n">
        <f aca="false">B45+5</f>
        <v>35</v>
      </c>
      <c r="D45" s="14" t="n">
        <f aca="false">(B45+C45)/2</f>
        <v>32.5</v>
      </c>
      <c r="E45" s="18" t="n">
        <f aca="false">COUNTIFS(Totals,"&gt;="&amp;B45,Totals,"&lt;"&amp;C45)</f>
        <v>0</v>
      </c>
      <c r="F45" s="14" t="str">
        <f aca="false">IFERROR(nGraded*(NORMDIST(C45,MeanScore,SDScore,TRUE())-NORMDIST(B45,MeanScore,SDScore,TRUE())),"")</f>
        <v/>
      </c>
      <c r="G45" s="79" t="str">
        <f aca="false">IFERROR(E45-F45,"")</f>
        <v/>
      </c>
      <c r="P45" s="65" t="n">
        <v>31</v>
      </c>
      <c r="Q45" s="65" t="e">
        <f aca="false">IF(P45&lt;=nGraded,SMALL(Totals,P45),NA())</f>
        <v>#N/A</v>
      </c>
      <c r="R45" s="66" t="str">
        <f aca="false">IF(P45&lt;=nGraded,(P45-0.375)/(nGraded+0.25),"")</f>
        <v/>
      </c>
      <c r="S45" s="66" t="str">
        <f aca="false">IF(P45&lt;=nGraded,NORMSINV(R45),"")</f>
        <v/>
      </c>
      <c r="T45" s="66" t="e">
        <f aca="false">IFERROR(IF(P45&lt;=nGraded,MeanScore+SDScore*S45,NA()),NA())</f>
        <v>#N/A</v>
      </c>
      <c r="U45" s="66" t="str">
        <f aca="false">IFERROR(IF(P45&gt;nGraded,"",IF(P45=nGraded,$Z$19,IF(P45=nGraded-1,$Z$20,IF(P45=1,-$Z$19,IF(P45=2,-$Z$20,S45/SQRT($Z$21)))))),"")</f>
        <v/>
      </c>
      <c r="V45" s="66" t="str">
        <f aca="false">IFERROR(IF(P45&lt;=nGraded,U45*Q45,""),"")</f>
        <v/>
      </c>
      <c r="W45" s="66" t="str">
        <f aca="false">IFERROR(IF(P45&lt;=nGraded,(2*P45-1)*(LN(NORMDIST(Q45,MeanScore,SDScore,TRUE()))+LN(1-NORMDIST(LARGE(Totals,P45),MeanScore,SDScore,TRUE()))),""),"")</f>
        <v/>
      </c>
      <c r="AB45" s="69" t="str">
        <f aca="false">IF('Quiz 2 Grades'!$Q37="Graded",'Quiz 2 Grades'!$M37,"")</f>
        <v/>
      </c>
      <c r="AC45" s="69" t="str">
        <f aca="false">IF('Quiz 2 Grades'!$Q37="Graded",'Quiz 2 Grades'!C37,"")</f>
        <v/>
      </c>
      <c r="AD45" s="69" t="str">
        <f aca="false">IF('Quiz 2 Grades'!$Q37="Graded",'Quiz 2 Grades'!D37,"")</f>
        <v/>
      </c>
      <c r="AE45" s="69" t="str">
        <f aca="false">IF('Quiz 2 Grades'!$Q37="Graded",'Quiz 2 Grades'!E37,"")</f>
        <v/>
      </c>
      <c r="AF45" s="69" t="str">
        <f aca="false">IF('Quiz 2 Grades'!$Q37="Graded",'Quiz 2 Grades'!F37,"")</f>
        <v/>
      </c>
      <c r="AG45" s="69" t="str">
        <f aca="false">IF('Quiz 2 Grades'!$Q37="Graded",'Quiz 2 Grades'!G37,"")</f>
        <v/>
      </c>
      <c r="AH45" s="69" t="str">
        <f aca="false">IF('Quiz 2 Grades'!$Q37="Graded",'Quiz 2 Grades'!I37,"")</f>
        <v/>
      </c>
      <c r="AI45" s="69" t="str">
        <f aca="false">IF('Quiz 2 Grades'!$Q37="Graded",'Quiz 2 Grades'!J37,"")</f>
        <v/>
      </c>
      <c r="AJ45" s="69" t="str">
        <f aca="false">IF('Quiz 2 Grades'!$Q37="Graded",'Quiz 2 Grades'!K37,"")</f>
        <v/>
      </c>
      <c r="AK45" s="69" t="str">
        <f aca="false">IF(ISNUMBER(AB45),AB45-AC45,"")</f>
        <v/>
      </c>
      <c r="AL45" s="69" t="str">
        <f aca="false">IF(ISNUMBER(AB45),AB45-AD45,"")</f>
        <v/>
      </c>
      <c r="AM45" s="69" t="str">
        <f aca="false">IF(ISNUMBER(AB45),AB45-AE45,"")</f>
        <v/>
      </c>
      <c r="AN45" s="69" t="str">
        <f aca="false">IF(ISNUMBER(AB45),AB45-AF45,"")</f>
        <v/>
      </c>
      <c r="AO45" s="69" t="str">
        <f aca="false">IF(ISNUMBER(AB45),AB45-AG45,"")</f>
        <v/>
      </c>
      <c r="AP45" s="69" t="str">
        <f aca="false">IF(ISNUMBER(AB45),AB45-AH45,"")</f>
        <v/>
      </c>
      <c r="AQ45" s="69" t="str">
        <f aca="false">IF(ISNUMBER(AB45),AB45-AI45,"")</f>
        <v/>
      </c>
      <c r="AR45" s="69" t="str">
        <f aca="false">IF(ISNUMBER(AB45),AB45-AJ45,"")</f>
        <v/>
      </c>
    </row>
    <row r="46" customFormat="false" ht="14.25" hidden="false" customHeight="false" outlineLevel="0" collapsed="false">
      <c r="A46" s="17" t="str">
        <f aca="false">B46&amp;"–"&amp;C46</f>
        <v>35–40</v>
      </c>
      <c r="B46" s="17" t="n">
        <v>35</v>
      </c>
      <c r="C46" s="17" t="n">
        <f aca="false">B46+5</f>
        <v>40</v>
      </c>
      <c r="D46" s="14" t="n">
        <f aca="false">(B46+C46)/2</f>
        <v>37.5</v>
      </c>
      <c r="E46" s="18" t="n">
        <f aca="false">COUNTIFS(Totals,"&gt;="&amp;B46,Totals,"&lt;"&amp;C46)</f>
        <v>0</v>
      </c>
      <c r="F46" s="14" t="str">
        <f aca="false">IFERROR(nGraded*(NORMDIST(C46,MeanScore,SDScore,TRUE())-NORMDIST(B46,MeanScore,SDScore,TRUE())),"")</f>
        <v/>
      </c>
      <c r="G46" s="79" t="str">
        <f aca="false">IFERROR(E46-F46,"")</f>
        <v/>
      </c>
      <c r="P46" s="65" t="n">
        <v>32</v>
      </c>
      <c r="Q46" s="65" t="e">
        <f aca="false">IF(P46&lt;=nGraded,SMALL(Totals,P46),NA())</f>
        <v>#N/A</v>
      </c>
      <c r="R46" s="66" t="str">
        <f aca="false">IF(P46&lt;=nGraded,(P46-0.375)/(nGraded+0.25),"")</f>
        <v/>
      </c>
      <c r="S46" s="66" t="str">
        <f aca="false">IF(P46&lt;=nGraded,NORMSINV(R46),"")</f>
        <v/>
      </c>
      <c r="T46" s="66" t="e">
        <f aca="false">IFERROR(IF(P46&lt;=nGraded,MeanScore+SDScore*S46,NA()),NA())</f>
        <v>#N/A</v>
      </c>
      <c r="U46" s="66" t="str">
        <f aca="false">IFERROR(IF(P46&gt;nGraded,"",IF(P46=nGraded,$Z$19,IF(P46=nGraded-1,$Z$20,IF(P46=1,-$Z$19,IF(P46=2,-$Z$20,S46/SQRT($Z$21)))))),"")</f>
        <v/>
      </c>
      <c r="V46" s="66" t="str">
        <f aca="false">IFERROR(IF(P46&lt;=nGraded,U46*Q46,""),"")</f>
        <v/>
      </c>
      <c r="W46" s="66" t="str">
        <f aca="false">IFERROR(IF(P46&lt;=nGraded,(2*P46-1)*(LN(NORMDIST(Q46,MeanScore,SDScore,TRUE()))+LN(1-NORMDIST(LARGE(Totals,P46),MeanScore,SDScore,TRUE()))),""),"")</f>
        <v/>
      </c>
      <c r="AB46" s="69" t="str">
        <f aca="false">IF('Quiz 2 Grades'!$Q38="Graded",'Quiz 2 Grades'!$M38,"")</f>
        <v/>
      </c>
      <c r="AC46" s="69" t="str">
        <f aca="false">IF('Quiz 2 Grades'!$Q38="Graded",'Quiz 2 Grades'!C38,"")</f>
        <v/>
      </c>
      <c r="AD46" s="69" t="str">
        <f aca="false">IF('Quiz 2 Grades'!$Q38="Graded",'Quiz 2 Grades'!D38,"")</f>
        <v/>
      </c>
      <c r="AE46" s="69" t="str">
        <f aca="false">IF('Quiz 2 Grades'!$Q38="Graded",'Quiz 2 Grades'!E38,"")</f>
        <v/>
      </c>
      <c r="AF46" s="69" t="str">
        <f aca="false">IF('Quiz 2 Grades'!$Q38="Graded",'Quiz 2 Grades'!F38,"")</f>
        <v/>
      </c>
      <c r="AG46" s="69" t="str">
        <f aca="false">IF('Quiz 2 Grades'!$Q38="Graded",'Quiz 2 Grades'!G38,"")</f>
        <v/>
      </c>
      <c r="AH46" s="69" t="str">
        <f aca="false">IF('Quiz 2 Grades'!$Q38="Graded",'Quiz 2 Grades'!I38,"")</f>
        <v/>
      </c>
      <c r="AI46" s="69" t="str">
        <f aca="false">IF('Quiz 2 Grades'!$Q38="Graded",'Quiz 2 Grades'!J38,"")</f>
        <v/>
      </c>
      <c r="AJ46" s="69" t="str">
        <f aca="false">IF('Quiz 2 Grades'!$Q38="Graded",'Quiz 2 Grades'!K38,"")</f>
        <v/>
      </c>
      <c r="AK46" s="69" t="str">
        <f aca="false">IF(ISNUMBER(AB46),AB46-AC46,"")</f>
        <v/>
      </c>
      <c r="AL46" s="69" t="str">
        <f aca="false">IF(ISNUMBER(AB46),AB46-AD46,"")</f>
        <v/>
      </c>
      <c r="AM46" s="69" t="str">
        <f aca="false">IF(ISNUMBER(AB46),AB46-AE46,"")</f>
        <v/>
      </c>
      <c r="AN46" s="69" t="str">
        <f aca="false">IF(ISNUMBER(AB46),AB46-AF46,"")</f>
        <v/>
      </c>
      <c r="AO46" s="69" t="str">
        <f aca="false">IF(ISNUMBER(AB46),AB46-AG46,"")</f>
        <v/>
      </c>
      <c r="AP46" s="69" t="str">
        <f aca="false">IF(ISNUMBER(AB46),AB46-AH46,"")</f>
        <v/>
      </c>
      <c r="AQ46" s="69" t="str">
        <f aca="false">IF(ISNUMBER(AB46),AB46-AI46,"")</f>
        <v/>
      </c>
      <c r="AR46" s="69" t="str">
        <f aca="false">IF(ISNUMBER(AB46),AB46-AJ46,"")</f>
        <v/>
      </c>
    </row>
    <row r="47" customFormat="false" ht="14.25" hidden="false" customHeight="false" outlineLevel="0" collapsed="false">
      <c r="A47" s="17" t="str">
        <f aca="false">B47&amp;"–"&amp;C47</f>
        <v>40–45</v>
      </c>
      <c r="B47" s="17" t="n">
        <v>40</v>
      </c>
      <c r="C47" s="17" t="n">
        <f aca="false">B47+5</f>
        <v>45</v>
      </c>
      <c r="D47" s="14" t="n">
        <f aca="false">(B47+C47)/2</f>
        <v>42.5</v>
      </c>
      <c r="E47" s="18" t="n">
        <f aca="false">COUNTIFS(Totals,"&gt;="&amp;B47,Totals,"&lt;"&amp;C47)</f>
        <v>0</v>
      </c>
      <c r="F47" s="14" t="str">
        <f aca="false">IFERROR(nGraded*(NORMDIST(C47,MeanScore,SDScore,TRUE())-NORMDIST(B47,MeanScore,SDScore,TRUE())),"")</f>
        <v/>
      </c>
      <c r="G47" s="79" t="str">
        <f aca="false">IFERROR(E47-F47,"")</f>
        <v/>
      </c>
      <c r="P47" s="65" t="n">
        <v>33</v>
      </c>
      <c r="Q47" s="65" t="e">
        <f aca="false">IF(P47&lt;=nGraded,SMALL(Totals,P47),NA())</f>
        <v>#N/A</v>
      </c>
      <c r="R47" s="66" t="str">
        <f aca="false">IF(P47&lt;=nGraded,(P47-0.375)/(nGraded+0.25),"")</f>
        <v/>
      </c>
      <c r="S47" s="66" t="str">
        <f aca="false">IF(P47&lt;=nGraded,NORMSINV(R47),"")</f>
        <v/>
      </c>
      <c r="T47" s="66" t="e">
        <f aca="false">IFERROR(IF(P47&lt;=nGraded,MeanScore+SDScore*S47,NA()),NA())</f>
        <v>#N/A</v>
      </c>
      <c r="U47" s="66" t="str">
        <f aca="false">IFERROR(IF(P47&gt;nGraded,"",IF(P47=nGraded,$Z$19,IF(P47=nGraded-1,$Z$20,IF(P47=1,-$Z$19,IF(P47=2,-$Z$20,S47/SQRT($Z$21)))))),"")</f>
        <v/>
      </c>
      <c r="V47" s="66" t="str">
        <f aca="false">IFERROR(IF(P47&lt;=nGraded,U47*Q47,""),"")</f>
        <v/>
      </c>
      <c r="W47" s="66" t="str">
        <f aca="false">IFERROR(IF(P47&lt;=nGraded,(2*P47-1)*(LN(NORMDIST(Q47,MeanScore,SDScore,TRUE()))+LN(1-NORMDIST(LARGE(Totals,P47),MeanScore,SDScore,TRUE()))),""),"")</f>
        <v/>
      </c>
      <c r="AB47" s="69" t="str">
        <f aca="false">IF('Quiz 2 Grades'!$Q39="Graded",'Quiz 2 Grades'!$M39,"")</f>
        <v/>
      </c>
      <c r="AC47" s="69" t="str">
        <f aca="false">IF('Quiz 2 Grades'!$Q39="Graded",'Quiz 2 Grades'!C39,"")</f>
        <v/>
      </c>
      <c r="AD47" s="69" t="str">
        <f aca="false">IF('Quiz 2 Grades'!$Q39="Graded",'Quiz 2 Grades'!D39,"")</f>
        <v/>
      </c>
      <c r="AE47" s="69" t="str">
        <f aca="false">IF('Quiz 2 Grades'!$Q39="Graded",'Quiz 2 Grades'!E39,"")</f>
        <v/>
      </c>
      <c r="AF47" s="69" t="str">
        <f aca="false">IF('Quiz 2 Grades'!$Q39="Graded",'Quiz 2 Grades'!F39,"")</f>
        <v/>
      </c>
      <c r="AG47" s="69" t="str">
        <f aca="false">IF('Quiz 2 Grades'!$Q39="Graded",'Quiz 2 Grades'!G39,"")</f>
        <v/>
      </c>
      <c r="AH47" s="69" t="str">
        <f aca="false">IF('Quiz 2 Grades'!$Q39="Graded",'Quiz 2 Grades'!I39,"")</f>
        <v/>
      </c>
      <c r="AI47" s="69" t="str">
        <f aca="false">IF('Quiz 2 Grades'!$Q39="Graded",'Quiz 2 Grades'!J39,"")</f>
        <v/>
      </c>
      <c r="AJ47" s="69" t="str">
        <f aca="false">IF('Quiz 2 Grades'!$Q39="Graded",'Quiz 2 Grades'!K39,"")</f>
        <v/>
      </c>
      <c r="AK47" s="69" t="str">
        <f aca="false">IF(ISNUMBER(AB47),AB47-AC47,"")</f>
        <v/>
      </c>
      <c r="AL47" s="69" t="str">
        <f aca="false">IF(ISNUMBER(AB47),AB47-AD47,"")</f>
        <v/>
      </c>
      <c r="AM47" s="69" t="str">
        <f aca="false">IF(ISNUMBER(AB47),AB47-AE47,"")</f>
        <v/>
      </c>
      <c r="AN47" s="69" t="str">
        <f aca="false">IF(ISNUMBER(AB47),AB47-AF47,"")</f>
        <v/>
      </c>
      <c r="AO47" s="69" t="str">
        <f aca="false">IF(ISNUMBER(AB47),AB47-AG47,"")</f>
        <v/>
      </c>
      <c r="AP47" s="69" t="str">
        <f aca="false">IF(ISNUMBER(AB47),AB47-AH47,"")</f>
        <v/>
      </c>
      <c r="AQ47" s="69" t="str">
        <f aca="false">IF(ISNUMBER(AB47),AB47-AI47,"")</f>
        <v/>
      </c>
      <c r="AR47" s="69" t="str">
        <f aca="false">IF(ISNUMBER(AB47),AB47-AJ47,"")</f>
        <v/>
      </c>
    </row>
    <row r="48" customFormat="false" ht="14.25" hidden="false" customHeight="false" outlineLevel="0" collapsed="false">
      <c r="A48" s="17" t="str">
        <f aca="false">B48&amp;"–"&amp;C48</f>
        <v>45–50</v>
      </c>
      <c r="B48" s="17" t="n">
        <v>45</v>
      </c>
      <c r="C48" s="17" t="n">
        <f aca="false">MaxScore</f>
        <v>50</v>
      </c>
      <c r="D48" s="14" t="n">
        <f aca="false">(B48+C48)/2</f>
        <v>47.5</v>
      </c>
      <c r="E48" s="18" t="n">
        <f aca="false">COUNTIFS(Totals,"&gt;="&amp;B48,Totals,"&lt;="&amp;C48)</f>
        <v>0</v>
      </c>
      <c r="F48" s="14" t="str">
        <f aca="false">IFERROR(nGraded*(NORMDIST(C48,MeanScore,SDScore,TRUE())-NORMDIST(B48,MeanScore,SDScore,TRUE())),"")</f>
        <v/>
      </c>
      <c r="G48" s="79" t="str">
        <f aca="false">IFERROR(E48-F48,"")</f>
        <v/>
      </c>
      <c r="P48" s="65" t="n">
        <v>34</v>
      </c>
      <c r="Q48" s="65" t="e">
        <f aca="false">IF(P48&lt;=nGraded,SMALL(Totals,P48),NA())</f>
        <v>#N/A</v>
      </c>
      <c r="R48" s="66" t="str">
        <f aca="false">IF(P48&lt;=nGraded,(P48-0.375)/(nGraded+0.25),"")</f>
        <v/>
      </c>
      <c r="S48" s="66" t="str">
        <f aca="false">IF(P48&lt;=nGraded,NORMSINV(R48),"")</f>
        <v/>
      </c>
      <c r="T48" s="66" t="e">
        <f aca="false">IFERROR(IF(P48&lt;=nGraded,MeanScore+SDScore*S48,NA()),NA())</f>
        <v>#N/A</v>
      </c>
      <c r="U48" s="66" t="str">
        <f aca="false">IFERROR(IF(P48&gt;nGraded,"",IF(P48=nGraded,$Z$19,IF(P48=nGraded-1,$Z$20,IF(P48=1,-$Z$19,IF(P48=2,-$Z$20,S48/SQRT($Z$21)))))),"")</f>
        <v/>
      </c>
      <c r="V48" s="66" t="str">
        <f aca="false">IFERROR(IF(P48&lt;=nGraded,U48*Q48,""),"")</f>
        <v/>
      </c>
      <c r="W48" s="66" t="str">
        <f aca="false">IFERROR(IF(P48&lt;=nGraded,(2*P48-1)*(LN(NORMDIST(Q48,MeanScore,SDScore,TRUE()))+LN(1-NORMDIST(LARGE(Totals,P48),MeanScore,SDScore,TRUE()))),""),"")</f>
        <v/>
      </c>
      <c r="AB48" s="69" t="str">
        <f aca="false">IF('Quiz 2 Grades'!$Q40="Graded",'Quiz 2 Grades'!$M40,"")</f>
        <v/>
      </c>
      <c r="AC48" s="69" t="str">
        <f aca="false">IF('Quiz 2 Grades'!$Q40="Graded",'Quiz 2 Grades'!C40,"")</f>
        <v/>
      </c>
      <c r="AD48" s="69" t="str">
        <f aca="false">IF('Quiz 2 Grades'!$Q40="Graded",'Quiz 2 Grades'!D40,"")</f>
        <v/>
      </c>
      <c r="AE48" s="69" t="str">
        <f aca="false">IF('Quiz 2 Grades'!$Q40="Graded",'Quiz 2 Grades'!E40,"")</f>
        <v/>
      </c>
      <c r="AF48" s="69" t="str">
        <f aca="false">IF('Quiz 2 Grades'!$Q40="Graded",'Quiz 2 Grades'!F40,"")</f>
        <v/>
      </c>
      <c r="AG48" s="69" t="str">
        <f aca="false">IF('Quiz 2 Grades'!$Q40="Graded",'Quiz 2 Grades'!G40,"")</f>
        <v/>
      </c>
      <c r="AH48" s="69" t="str">
        <f aca="false">IF('Quiz 2 Grades'!$Q40="Graded",'Quiz 2 Grades'!I40,"")</f>
        <v/>
      </c>
      <c r="AI48" s="69" t="str">
        <f aca="false">IF('Quiz 2 Grades'!$Q40="Graded",'Quiz 2 Grades'!J40,"")</f>
        <v/>
      </c>
      <c r="AJ48" s="69" t="str">
        <f aca="false">IF('Quiz 2 Grades'!$Q40="Graded",'Quiz 2 Grades'!K40,"")</f>
        <v/>
      </c>
      <c r="AK48" s="69" t="str">
        <f aca="false">IF(ISNUMBER(AB48),AB48-AC48,"")</f>
        <v/>
      </c>
      <c r="AL48" s="69" t="str">
        <f aca="false">IF(ISNUMBER(AB48),AB48-AD48,"")</f>
        <v/>
      </c>
      <c r="AM48" s="69" t="str">
        <f aca="false">IF(ISNUMBER(AB48),AB48-AE48,"")</f>
        <v/>
      </c>
      <c r="AN48" s="69" t="str">
        <f aca="false">IF(ISNUMBER(AB48),AB48-AF48,"")</f>
        <v/>
      </c>
      <c r="AO48" s="69" t="str">
        <f aca="false">IF(ISNUMBER(AB48),AB48-AG48,"")</f>
        <v/>
      </c>
      <c r="AP48" s="69" t="str">
        <f aca="false">IF(ISNUMBER(AB48),AB48-AH48,"")</f>
        <v/>
      </c>
      <c r="AQ48" s="69" t="str">
        <f aca="false">IF(ISNUMBER(AB48),AB48-AI48,"")</f>
        <v/>
      </c>
      <c r="AR48" s="69" t="str">
        <f aca="false">IF(ISNUMBER(AB48),AB48-AJ48,"")</f>
        <v/>
      </c>
    </row>
    <row r="49" customFormat="false" ht="14.25" hidden="false" customHeight="false" outlineLevel="0" collapsed="false">
      <c r="A49" s="4" t="s">
        <v>453</v>
      </c>
      <c r="E49" s="18" t="n">
        <f aca="false">SUM(E39:E48)</f>
        <v>0</v>
      </c>
      <c r="F49" s="56" t="n">
        <f aca="false">SUM(F39:F48)</f>
        <v>0</v>
      </c>
      <c r="P49" s="65" t="n">
        <v>35</v>
      </c>
      <c r="Q49" s="65" t="e">
        <f aca="false">IF(P49&lt;=nGraded,SMALL(Totals,P49),NA())</f>
        <v>#N/A</v>
      </c>
      <c r="R49" s="66" t="str">
        <f aca="false">IF(P49&lt;=nGraded,(P49-0.375)/(nGraded+0.25),"")</f>
        <v/>
      </c>
      <c r="S49" s="66" t="str">
        <f aca="false">IF(P49&lt;=nGraded,NORMSINV(R49),"")</f>
        <v/>
      </c>
      <c r="T49" s="66" t="e">
        <f aca="false">IFERROR(IF(P49&lt;=nGraded,MeanScore+SDScore*S49,NA()),NA())</f>
        <v>#N/A</v>
      </c>
      <c r="U49" s="66" t="str">
        <f aca="false">IFERROR(IF(P49&gt;nGraded,"",IF(P49=nGraded,$Z$19,IF(P49=nGraded-1,$Z$20,IF(P49=1,-$Z$19,IF(P49=2,-$Z$20,S49/SQRT($Z$21)))))),"")</f>
        <v/>
      </c>
      <c r="V49" s="66" t="str">
        <f aca="false">IFERROR(IF(P49&lt;=nGraded,U49*Q49,""),"")</f>
        <v/>
      </c>
      <c r="W49" s="66" t="str">
        <f aca="false">IFERROR(IF(P49&lt;=nGraded,(2*P49-1)*(LN(NORMDIST(Q49,MeanScore,SDScore,TRUE()))+LN(1-NORMDIST(LARGE(Totals,P49),MeanScore,SDScore,TRUE()))),""),"")</f>
        <v/>
      </c>
      <c r="AB49" s="69" t="str">
        <f aca="false">IF('Quiz 2 Grades'!$Q41="Graded",'Quiz 2 Grades'!$M41,"")</f>
        <v/>
      </c>
      <c r="AC49" s="69" t="str">
        <f aca="false">IF('Quiz 2 Grades'!$Q41="Graded",'Quiz 2 Grades'!C41,"")</f>
        <v/>
      </c>
      <c r="AD49" s="69" t="str">
        <f aca="false">IF('Quiz 2 Grades'!$Q41="Graded",'Quiz 2 Grades'!D41,"")</f>
        <v/>
      </c>
      <c r="AE49" s="69" t="str">
        <f aca="false">IF('Quiz 2 Grades'!$Q41="Graded",'Quiz 2 Grades'!E41,"")</f>
        <v/>
      </c>
      <c r="AF49" s="69" t="str">
        <f aca="false">IF('Quiz 2 Grades'!$Q41="Graded",'Quiz 2 Grades'!F41,"")</f>
        <v/>
      </c>
      <c r="AG49" s="69" t="str">
        <f aca="false">IF('Quiz 2 Grades'!$Q41="Graded",'Quiz 2 Grades'!G41,"")</f>
        <v/>
      </c>
      <c r="AH49" s="69" t="str">
        <f aca="false">IF('Quiz 2 Grades'!$Q41="Graded",'Quiz 2 Grades'!I41,"")</f>
        <v/>
      </c>
      <c r="AI49" s="69" t="str">
        <f aca="false">IF('Quiz 2 Grades'!$Q41="Graded",'Quiz 2 Grades'!J41,"")</f>
        <v/>
      </c>
      <c r="AJ49" s="69" t="str">
        <f aca="false">IF('Quiz 2 Grades'!$Q41="Graded",'Quiz 2 Grades'!K41,"")</f>
        <v/>
      </c>
      <c r="AK49" s="69" t="str">
        <f aca="false">IF(ISNUMBER(AB49),AB49-AC49,"")</f>
        <v/>
      </c>
      <c r="AL49" s="69" t="str">
        <f aca="false">IF(ISNUMBER(AB49),AB49-AD49,"")</f>
        <v/>
      </c>
      <c r="AM49" s="69" t="str">
        <f aca="false">IF(ISNUMBER(AB49),AB49-AE49,"")</f>
        <v/>
      </c>
      <c r="AN49" s="69" t="str">
        <f aca="false">IF(ISNUMBER(AB49),AB49-AF49,"")</f>
        <v/>
      </c>
      <c r="AO49" s="69" t="str">
        <f aca="false">IF(ISNUMBER(AB49),AB49-AG49,"")</f>
        <v/>
      </c>
      <c r="AP49" s="69" t="str">
        <f aca="false">IF(ISNUMBER(AB49),AB49-AH49,"")</f>
        <v/>
      </c>
      <c r="AQ49" s="69" t="str">
        <f aca="false">IF(ISNUMBER(AB49),AB49-AI49,"")</f>
        <v/>
      </c>
      <c r="AR49" s="69" t="str">
        <f aca="false">IF(ISNUMBER(AB49),AB49-AJ49,"")</f>
        <v/>
      </c>
    </row>
    <row r="50" customFormat="false" ht="14.25" hidden="false" customHeight="false" outlineLevel="0" collapsed="false">
      <c r="A50" s="80" t="s">
        <v>454</v>
      </c>
      <c r="F50" s="14" t="str">
        <f aca="false">IFERROR(nGraded*NORMDIST(0,MeanScore,SDScore,TRUE()),"")</f>
        <v/>
      </c>
      <c r="P50" s="65" t="n">
        <v>36</v>
      </c>
      <c r="Q50" s="65" t="e">
        <f aca="false">IF(P50&lt;=nGraded,SMALL(Totals,P50),NA())</f>
        <v>#N/A</v>
      </c>
      <c r="R50" s="66" t="str">
        <f aca="false">IF(P50&lt;=nGraded,(P50-0.375)/(nGraded+0.25),"")</f>
        <v/>
      </c>
      <c r="S50" s="66" t="str">
        <f aca="false">IF(P50&lt;=nGraded,NORMSINV(R50),"")</f>
        <v/>
      </c>
      <c r="T50" s="66" t="e">
        <f aca="false">IFERROR(IF(P50&lt;=nGraded,MeanScore+SDScore*S50,NA()),NA())</f>
        <v>#N/A</v>
      </c>
      <c r="U50" s="66" t="str">
        <f aca="false">IFERROR(IF(P50&gt;nGraded,"",IF(P50=nGraded,$Z$19,IF(P50=nGraded-1,$Z$20,IF(P50=1,-$Z$19,IF(P50=2,-$Z$20,S50/SQRT($Z$21)))))),"")</f>
        <v/>
      </c>
      <c r="V50" s="66" t="str">
        <f aca="false">IFERROR(IF(P50&lt;=nGraded,U50*Q50,""),"")</f>
        <v/>
      </c>
      <c r="W50" s="66" t="str">
        <f aca="false">IFERROR(IF(P50&lt;=nGraded,(2*P50-1)*(LN(NORMDIST(Q50,MeanScore,SDScore,TRUE()))+LN(1-NORMDIST(LARGE(Totals,P50),MeanScore,SDScore,TRUE()))),""),"")</f>
        <v/>
      </c>
      <c r="AB50" s="69" t="str">
        <f aca="false">IF('Quiz 2 Grades'!$Q42="Graded",'Quiz 2 Grades'!$M42,"")</f>
        <v/>
      </c>
      <c r="AC50" s="69" t="str">
        <f aca="false">IF('Quiz 2 Grades'!$Q42="Graded",'Quiz 2 Grades'!C42,"")</f>
        <v/>
      </c>
      <c r="AD50" s="69" t="str">
        <f aca="false">IF('Quiz 2 Grades'!$Q42="Graded",'Quiz 2 Grades'!D42,"")</f>
        <v/>
      </c>
      <c r="AE50" s="69" t="str">
        <f aca="false">IF('Quiz 2 Grades'!$Q42="Graded",'Quiz 2 Grades'!E42,"")</f>
        <v/>
      </c>
      <c r="AF50" s="69" t="str">
        <f aca="false">IF('Quiz 2 Grades'!$Q42="Graded",'Quiz 2 Grades'!F42,"")</f>
        <v/>
      </c>
      <c r="AG50" s="69" t="str">
        <f aca="false">IF('Quiz 2 Grades'!$Q42="Graded",'Quiz 2 Grades'!G42,"")</f>
        <v/>
      </c>
      <c r="AH50" s="69" t="str">
        <f aca="false">IF('Quiz 2 Grades'!$Q42="Graded",'Quiz 2 Grades'!I42,"")</f>
        <v/>
      </c>
      <c r="AI50" s="69" t="str">
        <f aca="false">IF('Quiz 2 Grades'!$Q42="Graded",'Quiz 2 Grades'!J42,"")</f>
        <v/>
      </c>
      <c r="AJ50" s="69" t="str">
        <f aca="false">IF('Quiz 2 Grades'!$Q42="Graded",'Quiz 2 Grades'!K42,"")</f>
        <v/>
      </c>
      <c r="AK50" s="69" t="str">
        <f aca="false">IF(ISNUMBER(AB50),AB50-AC50,"")</f>
        <v/>
      </c>
      <c r="AL50" s="69" t="str">
        <f aca="false">IF(ISNUMBER(AB50),AB50-AD50,"")</f>
        <v/>
      </c>
      <c r="AM50" s="69" t="str">
        <f aca="false">IF(ISNUMBER(AB50),AB50-AE50,"")</f>
        <v/>
      </c>
      <c r="AN50" s="69" t="str">
        <f aca="false">IF(ISNUMBER(AB50),AB50-AF50,"")</f>
        <v/>
      </c>
      <c r="AO50" s="69" t="str">
        <f aca="false">IF(ISNUMBER(AB50),AB50-AG50,"")</f>
        <v/>
      </c>
      <c r="AP50" s="69" t="str">
        <f aca="false">IF(ISNUMBER(AB50),AB50-AH50,"")</f>
        <v/>
      </c>
      <c r="AQ50" s="69" t="str">
        <f aca="false">IF(ISNUMBER(AB50),AB50-AI50,"")</f>
        <v/>
      </c>
      <c r="AR50" s="69" t="str">
        <f aca="false">IF(ISNUMBER(AB50),AB50-AJ50,"")</f>
        <v/>
      </c>
    </row>
    <row r="51" customFormat="false" ht="14.25" hidden="false" customHeight="false" outlineLevel="0" collapsed="false">
      <c r="A51" s="80" t="s">
        <v>455</v>
      </c>
      <c r="F51" s="56" t="str">
        <f aca="false">IFERROR(nGraded*(1-NORMDIST(MaxScore,MeanScore,SDScore,TRUE())),"")</f>
        <v/>
      </c>
      <c r="G51" s="73" t="str">
        <f aca="false">IFERROR(F51/nGraded,"")</f>
        <v/>
      </c>
      <c r="P51" s="65" t="n">
        <v>37</v>
      </c>
      <c r="Q51" s="65" t="e">
        <f aca="false">IF(P51&lt;=nGraded,SMALL(Totals,P51),NA())</f>
        <v>#N/A</v>
      </c>
      <c r="R51" s="66" t="str">
        <f aca="false">IF(P51&lt;=nGraded,(P51-0.375)/(nGraded+0.25),"")</f>
        <v/>
      </c>
      <c r="S51" s="66" t="str">
        <f aca="false">IF(P51&lt;=nGraded,NORMSINV(R51),"")</f>
        <v/>
      </c>
      <c r="T51" s="66" t="e">
        <f aca="false">IFERROR(IF(P51&lt;=nGraded,MeanScore+SDScore*S51,NA()),NA())</f>
        <v>#N/A</v>
      </c>
      <c r="U51" s="66" t="str">
        <f aca="false">IFERROR(IF(P51&gt;nGraded,"",IF(P51=nGraded,$Z$19,IF(P51=nGraded-1,$Z$20,IF(P51=1,-$Z$19,IF(P51=2,-$Z$20,S51/SQRT($Z$21)))))),"")</f>
        <v/>
      </c>
      <c r="V51" s="66" t="str">
        <f aca="false">IFERROR(IF(P51&lt;=nGraded,U51*Q51,""),"")</f>
        <v/>
      </c>
      <c r="W51" s="66" t="str">
        <f aca="false">IFERROR(IF(P51&lt;=nGraded,(2*P51-1)*(LN(NORMDIST(Q51,MeanScore,SDScore,TRUE()))+LN(1-NORMDIST(LARGE(Totals,P51),MeanScore,SDScore,TRUE()))),""),"")</f>
        <v/>
      </c>
      <c r="AB51" s="69" t="str">
        <f aca="false">IF('Quiz 2 Grades'!$Q43="Graded",'Quiz 2 Grades'!$M43,"")</f>
        <v/>
      </c>
      <c r="AC51" s="69" t="str">
        <f aca="false">IF('Quiz 2 Grades'!$Q43="Graded",'Quiz 2 Grades'!C43,"")</f>
        <v/>
      </c>
      <c r="AD51" s="69" t="str">
        <f aca="false">IF('Quiz 2 Grades'!$Q43="Graded",'Quiz 2 Grades'!D43,"")</f>
        <v/>
      </c>
      <c r="AE51" s="69" t="str">
        <f aca="false">IF('Quiz 2 Grades'!$Q43="Graded",'Quiz 2 Grades'!E43,"")</f>
        <v/>
      </c>
      <c r="AF51" s="69" t="str">
        <f aca="false">IF('Quiz 2 Grades'!$Q43="Graded",'Quiz 2 Grades'!F43,"")</f>
        <v/>
      </c>
      <c r="AG51" s="69" t="str">
        <f aca="false">IF('Quiz 2 Grades'!$Q43="Graded",'Quiz 2 Grades'!G43,"")</f>
        <v/>
      </c>
      <c r="AH51" s="69" t="str">
        <f aca="false">IF('Quiz 2 Grades'!$Q43="Graded",'Quiz 2 Grades'!I43,"")</f>
        <v/>
      </c>
      <c r="AI51" s="69" t="str">
        <f aca="false">IF('Quiz 2 Grades'!$Q43="Graded",'Quiz 2 Grades'!J43,"")</f>
        <v/>
      </c>
      <c r="AJ51" s="69" t="str">
        <f aca="false">IF('Quiz 2 Grades'!$Q43="Graded",'Quiz 2 Grades'!K43,"")</f>
        <v/>
      </c>
      <c r="AK51" s="69" t="str">
        <f aca="false">IF(ISNUMBER(AB51),AB51-AC51,"")</f>
        <v/>
      </c>
      <c r="AL51" s="69" t="str">
        <f aca="false">IF(ISNUMBER(AB51),AB51-AD51,"")</f>
        <v/>
      </c>
      <c r="AM51" s="69" t="str">
        <f aca="false">IF(ISNUMBER(AB51),AB51-AE51,"")</f>
        <v/>
      </c>
      <c r="AN51" s="69" t="str">
        <f aca="false">IF(ISNUMBER(AB51),AB51-AF51,"")</f>
        <v/>
      </c>
      <c r="AO51" s="69" t="str">
        <f aca="false">IF(ISNUMBER(AB51),AB51-AG51,"")</f>
        <v/>
      </c>
      <c r="AP51" s="69" t="str">
        <f aca="false">IF(ISNUMBER(AB51),AB51-AH51,"")</f>
        <v/>
      </c>
      <c r="AQ51" s="69" t="str">
        <f aca="false">IF(ISNUMBER(AB51),AB51-AI51,"")</f>
        <v/>
      </c>
      <c r="AR51" s="69" t="str">
        <f aca="false">IF(ISNUMBER(AB51),AB51-AJ51,"")</f>
        <v/>
      </c>
    </row>
    <row r="52" customFormat="false" ht="14.25" hidden="false" customHeight="false" outlineLevel="0" collapsed="false">
      <c r="P52" s="65" t="n">
        <v>38</v>
      </c>
      <c r="Q52" s="65" t="e">
        <f aca="false">IF(P52&lt;=nGraded,SMALL(Totals,P52),NA())</f>
        <v>#N/A</v>
      </c>
      <c r="R52" s="66" t="str">
        <f aca="false">IF(P52&lt;=nGraded,(P52-0.375)/(nGraded+0.25),"")</f>
        <v/>
      </c>
      <c r="S52" s="66" t="str">
        <f aca="false">IF(P52&lt;=nGraded,NORMSINV(R52),"")</f>
        <v/>
      </c>
      <c r="T52" s="66" t="e">
        <f aca="false">IFERROR(IF(P52&lt;=nGraded,MeanScore+SDScore*S52,NA()),NA())</f>
        <v>#N/A</v>
      </c>
      <c r="U52" s="66" t="str">
        <f aca="false">IFERROR(IF(P52&gt;nGraded,"",IF(P52=nGraded,$Z$19,IF(P52=nGraded-1,$Z$20,IF(P52=1,-$Z$19,IF(P52=2,-$Z$20,S52/SQRT($Z$21)))))),"")</f>
        <v/>
      </c>
      <c r="V52" s="66" t="str">
        <f aca="false">IFERROR(IF(P52&lt;=nGraded,U52*Q52,""),"")</f>
        <v/>
      </c>
      <c r="W52" s="66" t="str">
        <f aca="false">IFERROR(IF(P52&lt;=nGraded,(2*P52-1)*(LN(NORMDIST(Q52,MeanScore,SDScore,TRUE()))+LN(1-NORMDIST(LARGE(Totals,P52),MeanScore,SDScore,TRUE()))),""),"")</f>
        <v/>
      </c>
      <c r="AB52" s="69" t="str">
        <f aca="false">IF('Quiz 2 Grades'!$Q44="Graded",'Quiz 2 Grades'!$M44,"")</f>
        <v/>
      </c>
      <c r="AC52" s="69" t="str">
        <f aca="false">IF('Quiz 2 Grades'!$Q44="Graded",'Quiz 2 Grades'!C44,"")</f>
        <v/>
      </c>
      <c r="AD52" s="69" t="str">
        <f aca="false">IF('Quiz 2 Grades'!$Q44="Graded",'Quiz 2 Grades'!D44,"")</f>
        <v/>
      </c>
      <c r="AE52" s="69" t="str">
        <f aca="false">IF('Quiz 2 Grades'!$Q44="Graded",'Quiz 2 Grades'!E44,"")</f>
        <v/>
      </c>
      <c r="AF52" s="69" t="str">
        <f aca="false">IF('Quiz 2 Grades'!$Q44="Graded",'Quiz 2 Grades'!F44,"")</f>
        <v/>
      </c>
      <c r="AG52" s="69" t="str">
        <f aca="false">IF('Quiz 2 Grades'!$Q44="Graded",'Quiz 2 Grades'!G44,"")</f>
        <v/>
      </c>
      <c r="AH52" s="69" t="str">
        <f aca="false">IF('Quiz 2 Grades'!$Q44="Graded",'Quiz 2 Grades'!I44,"")</f>
        <v/>
      </c>
      <c r="AI52" s="69" t="str">
        <f aca="false">IF('Quiz 2 Grades'!$Q44="Graded",'Quiz 2 Grades'!J44,"")</f>
        <v/>
      </c>
      <c r="AJ52" s="69" t="str">
        <f aca="false">IF('Quiz 2 Grades'!$Q44="Graded",'Quiz 2 Grades'!K44,"")</f>
        <v/>
      </c>
      <c r="AK52" s="69" t="str">
        <f aca="false">IF(ISNUMBER(AB52),AB52-AC52,"")</f>
        <v/>
      </c>
      <c r="AL52" s="69" t="str">
        <f aca="false">IF(ISNUMBER(AB52),AB52-AD52,"")</f>
        <v/>
      </c>
      <c r="AM52" s="69" t="str">
        <f aca="false">IF(ISNUMBER(AB52),AB52-AE52,"")</f>
        <v/>
      </c>
      <c r="AN52" s="69" t="str">
        <f aca="false">IF(ISNUMBER(AB52),AB52-AF52,"")</f>
        <v/>
      </c>
      <c r="AO52" s="69" t="str">
        <f aca="false">IF(ISNUMBER(AB52),AB52-AG52,"")</f>
        <v/>
      </c>
      <c r="AP52" s="69" t="str">
        <f aca="false">IF(ISNUMBER(AB52),AB52-AH52,"")</f>
        <v/>
      </c>
      <c r="AQ52" s="69" t="str">
        <f aca="false">IF(ISNUMBER(AB52),AB52-AI52,"")</f>
        <v/>
      </c>
      <c r="AR52" s="69" t="str">
        <f aca="false">IF(ISNUMBER(AB52),AB52-AJ52,"")</f>
        <v/>
      </c>
    </row>
    <row r="53" customFormat="false" ht="14.25" hidden="false" customHeight="false" outlineLevel="0" collapsed="false">
      <c r="P53" s="65" t="n">
        <v>39</v>
      </c>
      <c r="Q53" s="65" t="e">
        <f aca="false">IF(P53&lt;=nGraded,SMALL(Totals,P53),NA())</f>
        <v>#N/A</v>
      </c>
      <c r="R53" s="66" t="str">
        <f aca="false">IF(P53&lt;=nGraded,(P53-0.375)/(nGraded+0.25),"")</f>
        <v/>
      </c>
      <c r="S53" s="66" t="str">
        <f aca="false">IF(P53&lt;=nGraded,NORMSINV(R53),"")</f>
        <v/>
      </c>
      <c r="T53" s="66" t="e">
        <f aca="false">IFERROR(IF(P53&lt;=nGraded,MeanScore+SDScore*S53,NA()),NA())</f>
        <v>#N/A</v>
      </c>
      <c r="U53" s="66" t="str">
        <f aca="false">IFERROR(IF(P53&gt;nGraded,"",IF(P53=nGraded,$Z$19,IF(P53=nGraded-1,$Z$20,IF(P53=1,-$Z$19,IF(P53=2,-$Z$20,S53/SQRT($Z$21)))))),"")</f>
        <v/>
      </c>
      <c r="V53" s="66" t="str">
        <f aca="false">IFERROR(IF(P53&lt;=nGraded,U53*Q53,""),"")</f>
        <v/>
      </c>
      <c r="W53" s="66" t="str">
        <f aca="false">IFERROR(IF(P53&lt;=nGraded,(2*P53-1)*(LN(NORMDIST(Q53,MeanScore,SDScore,TRUE()))+LN(1-NORMDIST(LARGE(Totals,P53),MeanScore,SDScore,TRUE()))),""),"")</f>
        <v/>
      </c>
      <c r="AB53" s="69" t="str">
        <f aca="false">IF('Quiz 2 Grades'!$Q45="Graded",'Quiz 2 Grades'!$M45,"")</f>
        <v/>
      </c>
      <c r="AC53" s="69" t="str">
        <f aca="false">IF('Quiz 2 Grades'!$Q45="Graded",'Quiz 2 Grades'!C45,"")</f>
        <v/>
      </c>
      <c r="AD53" s="69" t="str">
        <f aca="false">IF('Quiz 2 Grades'!$Q45="Graded",'Quiz 2 Grades'!D45,"")</f>
        <v/>
      </c>
      <c r="AE53" s="69" t="str">
        <f aca="false">IF('Quiz 2 Grades'!$Q45="Graded",'Quiz 2 Grades'!E45,"")</f>
        <v/>
      </c>
      <c r="AF53" s="69" t="str">
        <f aca="false">IF('Quiz 2 Grades'!$Q45="Graded",'Quiz 2 Grades'!F45,"")</f>
        <v/>
      </c>
      <c r="AG53" s="69" t="str">
        <f aca="false">IF('Quiz 2 Grades'!$Q45="Graded",'Quiz 2 Grades'!G45,"")</f>
        <v/>
      </c>
      <c r="AH53" s="69" t="str">
        <f aca="false">IF('Quiz 2 Grades'!$Q45="Graded",'Quiz 2 Grades'!I45,"")</f>
        <v/>
      </c>
      <c r="AI53" s="69" t="str">
        <f aca="false">IF('Quiz 2 Grades'!$Q45="Graded",'Quiz 2 Grades'!J45,"")</f>
        <v/>
      </c>
      <c r="AJ53" s="69" t="str">
        <f aca="false">IF('Quiz 2 Grades'!$Q45="Graded",'Quiz 2 Grades'!K45,"")</f>
        <v/>
      </c>
      <c r="AK53" s="69" t="str">
        <f aca="false">IF(ISNUMBER(AB53),AB53-AC53,"")</f>
        <v/>
      </c>
      <c r="AL53" s="69" t="str">
        <f aca="false">IF(ISNUMBER(AB53),AB53-AD53,"")</f>
        <v/>
      </c>
      <c r="AM53" s="69" t="str">
        <f aca="false">IF(ISNUMBER(AB53),AB53-AE53,"")</f>
        <v/>
      </c>
      <c r="AN53" s="69" t="str">
        <f aca="false">IF(ISNUMBER(AB53),AB53-AF53,"")</f>
        <v/>
      </c>
      <c r="AO53" s="69" t="str">
        <f aca="false">IF(ISNUMBER(AB53),AB53-AG53,"")</f>
        <v/>
      </c>
      <c r="AP53" s="69" t="str">
        <f aca="false">IF(ISNUMBER(AB53),AB53-AH53,"")</f>
        <v/>
      </c>
      <c r="AQ53" s="69" t="str">
        <f aca="false">IF(ISNUMBER(AB53),AB53-AI53,"")</f>
        <v/>
      </c>
      <c r="AR53" s="69" t="str">
        <f aca="false">IF(ISNUMBER(AB53),AB53-AJ53,"")</f>
        <v/>
      </c>
    </row>
    <row r="54" customFormat="false" ht="14.25" hidden="false" customHeight="false" outlineLevel="0" collapsed="false">
      <c r="P54" s="65" t="n">
        <v>40</v>
      </c>
      <c r="Q54" s="65" t="e">
        <f aca="false">IF(P54&lt;=nGraded,SMALL(Totals,P54),NA())</f>
        <v>#N/A</v>
      </c>
      <c r="R54" s="66" t="str">
        <f aca="false">IF(P54&lt;=nGraded,(P54-0.375)/(nGraded+0.25),"")</f>
        <v/>
      </c>
      <c r="S54" s="66" t="str">
        <f aca="false">IF(P54&lt;=nGraded,NORMSINV(R54),"")</f>
        <v/>
      </c>
      <c r="T54" s="66" t="e">
        <f aca="false">IFERROR(IF(P54&lt;=nGraded,MeanScore+SDScore*S54,NA()),NA())</f>
        <v>#N/A</v>
      </c>
      <c r="U54" s="66" t="str">
        <f aca="false">IFERROR(IF(P54&gt;nGraded,"",IF(P54=nGraded,$Z$19,IF(P54=nGraded-1,$Z$20,IF(P54=1,-$Z$19,IF(P54=2,-$Z$20,S54/SQRT($Z$21)))))),"")</f>
        <v/>
      </c>
      <c r="V54" s="66" t="str">
        <f aca="false">IFERROR(IF(P54&lt;=nGraded,U54*Q54,""),"")</f>
        <v/>
      </c>
      <c r="W54" s="66" t="str">
        <f aca="false">IFERROR(IF(P54&lt;=nGraded,(2*P54-1)*(LN(NORMDIST(Q54,MeanScore,SDScore,TRUE()))+LN(1-NORMDIST(LARGE(Totals,P54),MeanScore,SDScore,TRUE()))),""),"")</f>
        <v/>
      </c>
      <c r="AB54" s="69" t="str">
        <f aca="false">IF('Quiz 2 Grades'!$Q46="Graded",'Quiz 2 Grades'!$M46,"")</f>
        <v/>
      </c>
      <c r="AC54" s="69" t="str">
        <f aca="false">IF('Quiz 2 Grades'!$Q46="Graded",'Quiz 2 Grades'!C46,"")</f>
        <v/>
      </c>
      <c r="AD54" s="69" t="str">
        <f aca="false">IF('Quiz 2 Grades'!$Q46="Graded",'Quiz 2 Grades'!D46,"")</f>
        <v/>
      </c>
      <c r="AE54" s="69" t="str">
        <f aca="false">IF('Quiz 2 Grades'!$Q46="Graded",'Quiz 2 Grades'!E46,"")</f>
        <v/>
      </c>
      <c r="AF54" s="69" t="str">
        <f aca="false">IF('Quiz 2 Grades'!$Q46="Graded",'Quiz 2 Grades'!F46,"")</f>
        <v/>
      </c>
      <c r="AG54" s="69" t="str">
        <f aca="false">IF('Quiz 2 Grades'!$Q46="Graded",'Quiz 2 Grades'!G46,"")</f>
        <v/>
      </c>
      <c r="AH54" s="69" t="str">
        <f aca="false">IF('Quiz 2 Grades'!$Q46="Graded",'Quiz 2 Grades'!I46,"")</f>
        <v/>
      </c>
      <c r="AI54" s="69" t="str">
        <f aca="false">IF('Quiz 2 Grades'!$Q46="Graded",'Quiz 2 Grades'!J46,"")</f>
        <v/>
      </c>
      <c r="AJ54" s="69" t="str">
        <f aca="false">IF('Quiz 2 Grades'!$Q46="Graded",'Quiz 2 Grades'!K46,"")</f>
        <v/>
      </c>
      <c r="AK54" s="69" t="str">
        <f aca="false">IF(ISNUMBER(AB54),AB54-AC54,"")</f>
        <v/>
      </c>
      <c r="AL54" s="69" t="str">
        <f aca="false">IF(ISNUMBER(AB54),AB54-AD54,"")</f>
        <v/>
      </c>
      <c r="AM54" s="69" t="str">
        <f aca="false">IF(ISNUMBER(AB54),AB54-AE54,"")</f>
        <v/>
      </c>
      <c r="AN54" s="69" t="str">
        <f aca="false">IF(ISNUMBER(AB54),AB54-AF54,"")</f>
        <v/>
      </c>
      <c r="AO54" s="69" t="str">
        <f aca="false">IF(ISNUMBER(AB54),AB54-AG54,"")</f>
        <v/>
      </c>
      <c r="AP54" s="69" t="str">
        <f aca="false">IF(ISNUMBER(AB54),AB54-AH54,"")</f>
        <v/>
      </c>
      <c r="AQ54" s="69" t="str">
        <f aca="false">IF(ISNUMBER(AB54),AB54-AI54,"")</f>
        <v/>
      </c>
      <c r="AR54" s="69" t="str">
        <f aca="false">IF(ISNUMBER(AB54),AB54-AJ54,"")</f>
        <v/>
      </c>
    </row>
    <row r="55" customFormat="false" ht="21.75" hidden="false" customHeight="true" outlineLevel="0" collapsed="false">
      <c r="A55" s="3" t="s">
        <v>456</v>
      </c>
      <c r="B55" s="3"/>
      <c r="C55" s="3"/>
      <c r="D55" s="3"/>
      <c r="E55" s="3"/>
      <c r="F55" s="3"/>
      <c r="G55" s="3"/>
      <c r="P55" s="65" t="n">
        <v>41</v>
      </c>
      <c r="Q55" s="65" t="e">
        <f aca="false">IF(P55&lt;=nGraded,SMALL(Totals,P55),NA())</f>
        <v>#N/A</v>
      </c>
      <c r="R55" s="66" t="str">
        <f aca="false">IF(P55&lt;=nGraded,(P55-0.375)/(nGraded+0.25),"")</f>
        <v/>
      </c>
      <c r="S55" s="66" t="str">
        <f aca="false">IF(P55&lt;=nGraded,NORMSINV(R55),"")</f>
        <v/>
      </c>
      <c r="T55" s="66" t="e">
        <f aca="false">IFERROR(IF(P55&lt;=nGraded,MeanScore+SDScore*S55,NA()),NA())</f>
        <v>#N/A</v>
      </c>
      <c r="U55" s="66" t="str">
        <f aca="false">IFERROR(IF(P55&gt;nGraded,"",IF(P55=nGraded,$Z$19,IF(P55=nGraded-1,$Z$20,IF(P55=1,-$Z$19,IF(P55=2,-$Z$20,S55/SQRT($Z$21)))))),"")</f>
        <v/>
      </c>
      <c r="V55" s="66" t="str">
        <f aca="false">IFERROR(IF(P55&lt;=nGraded,U55*Q55,""),"")</f>
        <v/>
      </c>
      <c r="W55" s="66" t="str">
        <f aca="false">IFERROR(IF(P55&lt;=nGraded,(2*P55-1)*(LN(NORMDIST(Q55,MeanScore,SDScore,TRUE()))+LN(1-NORMDIST(LARGE(Totals,P55),MeanScore,SDScore,TRUE()))),""),"")</f>
        <v/>
      </c>
      <c r="AB55" s="69" t="str">
        <f aca="false">IF('Quiz 2 Grades'!$Q47="Graded",'Quiz 2 Grades'!$M47,"")</f>
        <v/>
      </c>
      <c r="AC55" s="69" t="str">
        <f aca="false">IF('Quiz 2 Grades'!$Q47="Graded",'Quiz 2 Grades'!C47,"")</f>
        <v/>
      </c>
      <c r="AD55" s="69" t="str">
        <f aca="false">IF('Quiz 2 Grades'!$Q47="Graded",'Quiz 2 Grades'!D47,"")</f>
        <v/>
      </c>
      <c r="AE55" s="69" t="str">
        <f aca="false">IF('Quiz 2 Grades'!$Q47="Graded",'Quiz 2 Grades'!E47,"")</f>
        <v/>
      </c>
      <c r="AF55" s="69" t="str">
        <f aca="false">IF('Quiz 2 Grades'!$Q47="Graded",'Quiz 2 Grades'!F47,"")</f>
        <v/>
      </c>
      <c r="AG55" s="69" t="str">
        <f aca="false">IF('Quiz 2 Grades'!$Q47="Graded",'Quiz 2 Grades'!G47,"")</f>
        <v/>
      </c>
      <c r="AH55" s="69" t="str">
        <f aca="false">IF('Quiz 2 Grades'!$Q47="Graded",'Quiz 2 Grades'!I47,"")</f>
        <v/>
      </c>
      <c r="AI55" s="69" t="str">
        <f aca="false">IF('Quiz 2 Grades'!$Q47="Graded",'Quiz 2 Grades'!J47,"")</f>
        <v/>
      </c>
      <c r="AJ55" s="69" t="str">
        <f aca="false">IF('Quiz 2 Grades'!$Q47="Graded",'Quiz 2 Grades'!K47,"")</f>
        <v/>
      </c>
      <c r="AK55" s="69" t="str">
        <f aca="false">IF(ISNUMBER(AB55),AB55-AC55,"")</f>
        <v/>
      </c>
      <c r="AL55" s="69" t="str">
        <f aca="false">IF(ISNUMBER(AB55),AB55-AD55,"")</f>
        <v/>
      </c>
      <c r="AM55" s="69" t="str">
        <f aca="false">IF(ISNUMBER(AB55),AB55-AE55,"")</f>
        <v/>
      </c>
      <c r="AN55" s="69" t="str">
        <f aca="false">IF(ISNUMBER(AB55),AB55-AF55,"")</f>
        <v/>
      </c>
      <c r="AO55" s="69" t="str">
        <f aca="false">IF(ISNUMBER(AB55),AB55-AG55,"")</f>
        <v/>
      </c>
      <c r="AP55" s="69" t="str">
        <f aca="false">IF(ISNUMBER(AB55),AB55-AH55,"")</f>
        <v/>
      </c>
      <c r="AQ55" s="69" t="str">
        <f aca="false">IF(ISNUMBER(AB55),AB55-AI55,"")</f>
        <v/>
      </c>
      <c r="AR55" s="69" t="str">
        <f aca="false">IF(ISNUMBER(AB55),AB55-AJ55,"")</f>
        <v/>
      </c>
    </row>
    <row r="56" customFormat="false" ht="30" hidden="false" customHeight="true" outlineLevel="0" collapsed="false">
      <c r="A56" s="11" t="s">
        <v>184</v>
      </c>
      <c r="B56" s="11" t="s">
        <v>457</v>
      </c>
      <c r="C56" s="11" t="s">
        <v>300</v>
      </c>
      <c r="D56" s="11" t="s">
        <v>458</v>
      </c>
      <c r="E56" s="11" t="s">
        <v>459</v>
      </c>
      <c r="F56" s="11" t="s">
        <v>460</v>
      </c>
      <c r="G56" s="11" t="s">
        <v>461</v>
      </c>
      <c r="H56" s="11" t="s">
        <v>462</v>
      </c>
      <c r="P56" s="65" t="n">
        <v>42</v>
      </c>
      <c r="Q56" s="65" t="e">
        <f aca="false">IF(P56&lt;=nGraded,SMALL(Totals,P56),NA())</f>
        <v>#N/A</v>
      </c>
      <c r="R56" s="66" t="str">
        <f aca="false">IF(P56&lt;=nGraded,(P56-0.375)/(nGraded+0.25),"")</f>
        <v/>
      </c>
      <c r="S56" s="66" t="str">
        <f aca="false">IF(P56&lt;=nGraded,NORMSINV(R56),"")</f>
        <v/>
      </c>
      <c r="T56" s="66" t="e">
        <f aca="false">IFERROR(IF(P56&lt;=nGraded,MeanScore+SDScore*S56,NA()),NA())</f>
        <v>#N/A</v>
      </c>
      <c r="U56" s="66" t="str">
        <f aca="false">IFERROR(IF(P56&gt;nGraded,"",IF(P56=nGraded,$Z$19,IF(P56=nGraded-1,$Z$20,IF(P56=1,-$Z$19,IF(P56=2,-$Z$20,S56/SQRT($Z$21)))))),"")</f>
        <v/>
      </c>
      <c r="V56" s="66" t="str">
        <f aca="false">IFERROR(IF(P56&lt;=nGraded,U56*Q56,""),"")</f>
        <v/>
      </c>
      <c r="W56" s="66" t="str">
        <f aca="false">IFERROR(IF(P56&lt;=nGraded,(2*P56-1)*(LN(NORMDIST(Q56,MeanScore,SDScore,TRUE()))+LN(1-NORMDIST(LARGE(Totals,P56),MeanScore,SDScore,TRUE()))),""),"")</f>
        <v/>
      </c>
      <c r="AB56" s="69" t="str">
        <f aca="false">IF('Quiz 2 Grades'!$Q48="Graded",'Quiz 2 Grades'!$M48,"")</f>
        <v/>
      </c>
      <c r="AC56" s="69" t="str">
        <f aca="false">IF('Quiz 2 Grades'!$Q48="Graded",'Quiz 2 Grades'!C48,"")</f>
        <v/>
      </c>
      <c r="AD56" s="69" t="str">
        <f aca="false">IF('Quiz 2 Grades'!$Q48="Graded",'Quiz 2 Grades'!D48,"")</f>
        <v/>
      </c>
      <c r="AE56" s="69" t="str">
        <f aca="false">IF('Quiz 2 Grades'!$Q48="Graded",'Quiz 2 Grades'!E48,"")</f>
        <v/>
      </c>
      <c r="AF56" s="69" t="str">
        <f aca="false">IF('Quiz 2 Grades'!$Q48="Graded",'Quiz 2 Grades'!F48,"")</f>
        <v/>
      </c>
      <c r="AG56" s="69" t="str">
        <f aca="false">IF('Quiz 2 Grades'!$Q48="Graded",'Quiz 2 Grades'!G48,"")</f>
        <v/>
      </c>
      <c r="AH56" s="69" t="str">
        <f aca="false">IF('Quiz 2 Grades'!$Q48="Graded",'Quiz 2 Grades'!I48,"")</f>
        <v/>
      </c>
      <c r="AI56" s="69" t="str">
        <f aca="false">IF('Quiz 2 Grades'!$Q48="Graded",'Quiz 2 Grades'!J48,"")</f>
        <v/>
      </c>
      <c r="AJ56" s="69" t="str">
        <f aca="false">IF('Quiz 2 Grades'!$Q48="Graded",'Quiz 2 Grades'!K48,"")</f>
        <v/>
      </c>
      <c r="AK56" s="69" t="str">
        <f aca="false">IF(ISNUMBER(AB56),AB56-AC56,"")</f>
        <v/>
      </c>
      <c r="AL56" s="69" t="str">
        <f aca="false">IF(ISNUMBER(AB56),AB56-AD56,"")</f>
        <v/>
      </c>
      <c r="AM56" s="69" t="str">
        <f aca="false">IF(ISNUMBER(AB56),AB56-AE56,"")</f>
        <v/>
      </c>
      <c r="AN56" s="69" t="str">
        <f aca="false">IF(ISNUMBER(AB56),AB56-AF56,"")</f>
        <v/>
      </c>
      <c r="AO56" s="69" t="str">
        <f aca="false">IF(ISNUMBER(AB56),AB56-AG56,"")</f>
        <v/>
      </c>
      <c r="AP56" s="69" t="str">
        <f aca="false">IF(ISNUMBER(AB56),AB56-AH56,"")</f>
        <v/>
      </c>
      <c r="AQ56" s="69" t="str">
        <f aca="false">IF(ISNUMBER(AB56),AB56-AI56,"")</f>
        <v/>
      </c>
      <c r="AR56" s="69" t="str">
        <f aca="false">IF(ISNUMBER(AB56),AB56-AJ56,"")</f>
        <v/>
      </c>
    </row>
    <row r="57" customFormat="false" ht="14.25" hidden="false" customHeight="false" outlineLevel="0" collapsed="false">
      <c r="A57" s="17" t="str">
        <f aca="false">'Quiz 2 Grades'!C6</f>
        <v>1.1</v>
      </c>
      <c r="B57" s="81" t="n">
        <f aca="false">'Quiz 2 Grades'!C$5</f>
        <v>15</v>
      </c>
      <c r="C57" s="82" t="str">
        <f aca="false">IFERROR(AVERAGE($AC$15:$AC$66),"")</f>
        <v/>
      </c>
      <c r="D57" s="15" t="str">
        <f aca="false">IFERROR(C57/B57,"")</f>
        <v/>
      </c>
      <c r="E57" s="82" t="str">
        <f aca="false">IFERROR(STDEV($AC$15:$AC$66),"")</f>
        <v/>
      </c>
      <c r="F57" s="70" t="str">
        <f aca="false">IFERROR(CORREL($AC$15:$AC$66,$AK$15:$AK$66),"")</f>
        <v/>
      </c>
      <c r="G57" s="12" t="str">
        <f aca="false">IF(ISNUMBER(F57),IF(F57&gt;=0.3,"Good",IF(F57&gt;=0.2,"Fair","Weak")),"")</f>
        <v/>
      </c>
      <c r="H57" s="83" t="str">
        <f aca="false">IF(D57="","",IF(D57&lt;0.5,"Hard for most",IF(D57&gt;0.9,"Very easy",""))&amp;IF(AND(ISNUMBER(F57),F57&lt;0.2)," · check key/wording",""))</f>
        <v/>
      </c>
      <c r="P57" s="65" t="n">
        <v>43</v>
      </c>
      <c r="Q57" s="65" t="e">
        <f aca="false">IF(P57&lt;=nGraded,SMALL(Totals,P57),NA())</f>
        <v>#N/A</v>
      </c>
      <c r="R57" s="66" t="str">
        <f aca="false">IF(P57&lt;=nGraded,(P57-0.375)/(nGraded+0.25),"")</f>
        <v/>
      </c>
      <c r="S57" s="66" t="str">
        <f aca="false">IF(P57&lt;=nGraded,NORMSINV(R57),"")</f>
        <v/>
      </c>
      <c r="T57" s="66" t="e">
        <f aca="false">IFERROR(IF(P57&lt;=nGraded,MeanScore+SDScore*S57,NA()),NA())</f>
        <v>#N/A</v>
      </c>
      <c r="U57" s="66" t="str">
        <f aca="false">IFERROR(IF(P57&gt;nGraded,"",IF(P57=nGraded,$Z$19,IF(P57=nGraded-1,$Z$20,IF(P57=1,-$Z$19,IF(P57=2,-$Z$20,S57/SQRT($Z$21)))))),"")</f>
        <v/>
      </c>
      <c r="V57" s="66" t="str">
        <f aca="false">IFERROR(IF(P57&lt;=nGraded,U57*Q57,""),"")</f>
        <v/>
      </c>
      <c r="W57" s="66" t="str">
        <f aca="false">IFERROR(IF(P57&lt;=nGraded,(2*P57-1)*(LN(NORMDIST(Q57,MeanScore,SDScore,TRUE()))+LN(1-NORMDIST(LARGE(Totals,P57),MeanScore,SDScore,TRUE()))),""),"")</f>
        <v/>
      </c>
      <c r="AB57" s="69" t="str">
        <f aca="false">IF('Quiz 2 Grades'!$Q49="Graded",'Quiz 2 Grades'!$M49,"")</f>
        <v/>
      </c>
      <c r="AC57" s="69" t="str">
        <f aca="false">IF('Quiz 2 Grades'!$Q49="Graded",'Quiz 2 Grades'!C49,"")</f>
        <v/>
      </c>
      <c r="AD57" s="69" t="str">
        <f aca="false">IF('Quiz 2 Grades'!$Q49="Graded",'Quiz 2 Grades'!D49,"")</f>
        <v/>
      </c>
      <c r="AE57" s="69" t="str">
        <f aca="false">IF('Quiz 2 Grades'!$Q49="Graded",'Quiz 2 Grades'!E49,"")</f>
        <v/>
      </c>
      <c r="AF57" s="69" t="str">
        <f aca="false">IF('Quiz 2 Grades'!$Q49="Graded",'Quiz 2 Grades'!F49,"")</f>
        <v/>
      </c>
      <c r="AG57" s="69" t="str">
        <f aca="false">IF('Quiz 2 Grades'!$Q49="Graded",'Quiz 2 Grades'!G49,"")</f>
        <v/>
      </c>
      <c r="AH57" s="69" t="str">
        <f aca="false">IF('Quiz 2 Grades'!$Q49="Graded",'Quiz 2 Grades'!I49,"")</f>
        <v/>
      </c>
      <c r="AI57" s="69" t="str">
        <f aca="false">IF('Quiz 2 Grades'!$Q49="Graded",'Quiz 2 Grades'!J49,"")</f>
        <v/>
      </c>
      <c r="AJ57" s="69" t="str">
        <f aca="false">IF('Quiz 2 Grades'!$Q49="Graded",'Quiz 2 Grades'!K49,"")</f>
        <v/>
      </c>
      <c r="AK57" s="69" t="str">
        <f aca="false">IF(ISNUMBER(AB57),AB57-AC57,"")</f>
        <v/>
      </c>
      <c r="AL57" s="69" t="str">
        <f aca="false">IF(ISNUMBER(AB57),AB57-AD57,"")</f>
        <v/>
      </c>
      <c r="AM57" s="69" t="str">
        <f aca="false">IF(ISNUMBER(AB57),AB57-AE57,"")</f>
        <v/>
      </c>
      <c r="AN57" s="69" t="str">
        <f aca="false">IF(ISNUMBER(AB57),AB57-AF57,"")</f>
        <v/>
      </c>
      <c r="AO57" s="69" t="str">
        <f aca="false">IF(ISNUMBER(AB57),AB57-AG57,"")</f>
        <v/>
      </c>
      <c r="AP57" s="69" t="str">
        <f aca="false">IF(ISNUMBER(AB57),AB57-AH57,"")</f>
        <v/>
      </c>
      <c r="AQ57" s="69" t="str">
        <f aca="false">IF(ISNUMBER(AB57),AB57-AI57,"")</f>
        <v/>
      </c>
      <c r="AR57" s="69" t="str">
        <f aca="false">IF(ISNUMBER(AB57),AB57-AJ57,"")</f>
        <v/>
      </c>
    </row>
    <row r="58" customFormat="false" ht="14.25" hidden="false" customHeight="false" outlineLevel="0" collapsed="false">
      <c r="A58" s="17" t="str">
        <f aca="false">'Quiz 2 Grades'!D6</f>
        <v>1.2 a</v>
      </c>
      <c r="B58" s="81" t="n">
        <f aca="false">'Quiz 2 Grades'!D$5</f>
        <v>6</v>
      </c>
      <c r="C58" s="82" t="str">
        <f aca="false">IFERROR(AVERAGE($AD$15:$AD$66),"")</f>
        <v/>
      </c>
      <c r="D58" s="15" t="str">
        <f aca="false">IFERROR(C58/B58,"")</f>
        <v/>
      </c>
      <c r="E58" s="82" t="str">
        <f aca="false">IFERROR(STDEV($AD$15:$AD$66),"")</f>
        <v/>
      </c>
      <c r="F58" s="70" t="str">
        <f aca="false">IFERROR(CORREL($AD$15:$AD$66,$AL$15:$AL$66),"")</f>
        <v/>
      </c>
      <c r="G58" s="12" t="str">
        <f aca="false">IF(ISNUMBER(F58),IF(F58&gt;=0.3,"Good",IF(F58&gt;=0.2,"Fair","Weak")),"")</f>
        <v/>
      </c>
      <c r="H58" s="83" t="str">
        <f aca="false">IF(D58="","",IF(D58&lt;0.5,"Hard for most",IF(D58&gt;0.9,"Very easy",""))&amp;IF(AND(ISNUMBER(F58),F58&lt;0.2)," · check key/wording",""))</f>
        <v/>
      </c>
      <c r="P58" s="65" t="n">
        <v>44</v>
      </c>
      <c r="Q58" s="65" t="e">
        <f aca="false">IF(P58&lt;=nGraded,SMALL(Totals,P58),NA())</f>
        <v>#N/A</v>
      </c>
      <c r="R58" s="66" t="str">
        <f aca="false">IF(P58&lt;=nGraded,(P58-0.375)/(nGraded+0.25),"")</f>
        <v/>
      </c>
      <c r="S58" s="66" t="str">
        <f aca="false">IF(P58&lt;=nGraded,NORMSINV(R58),"")</f>
        <v/>
      </c>
      <c r="T58" s="66" t="e">
        <f aca="false">IFERROR(IF(P58&lt;=nGraded,MeanScore+SDScore*S58,NA()),NA())</f>
        <v>#N/A</v>
      </c>
      <c r="U58" s="66" t="str">
        <f aca="false">IFERROR(IF(P58&gt;nGraded,"",IF(P58=nGraded,$Z$19,IF(P58=nGraded-1,$Z$20,IF(P58=1,-$Z$19,IF(P58=2,-$Z$20,S58/SQRT($Z$21)))))),"")</f>
        <v/>
      </c>
      <c r="V58" s="66" t="str">
        <f aca="false">IFERROR(IF(P58&lt;=nGraded,U58*Q58,""),"")</f>
        <v/>
      </c>
      <c r="W58" s="66" t="str">
        <f aca="false">IFERROR(IF(P58&lt;=nGraded,(2*P58-1)*(LN(NORMDIST(Q58,MeanScore,SDScore,TRUE()))+LN(1-NORMDIST(LARGE(Totals,P58),MeanScore,SDScore,TRUE()))),""),"")</f>
        <v/>
      </c>
      <c r="AB58" s="69" t="str">
        <f aca="false">IF('Quiz 2 Grades'!$Q50="Graded",'Quiz 2 Grades'!$M50,"")</f>
        <v/>
      </c>
      <c r="AC58" s="69" t="str">
        <f aca="false">IF('Quiz 2 Grades'!$Q50="Graded",'Quiz 2 Grades'!C50,"")</f>
        <v/>
      </c>
      <c r="AD58" s="69" t="str">
        <f aca="false">IF('Quiz 2 Grades'!$Q50="Graded",'Quiz 2 Grades'!D50,"")</f>
        <v/>
      </c>
      <c r="AE58" s="69" t="str">
        <f aca="false">IF('Quiz 2 Grades'!$Q50="Graded",'Quiz 2 Grades'!E50,"")</f>
        <v/>
      </c>
      <c r="AF58" s="69" t="str">
        <f aca="false">IF('Quiz 2 Grades'!$Q50="Graded",'Quiz 2 Grades'!F50,"")</f>
        <v/>
      </c>
      <c r="AG58" s="69" t="str">
        <f aca="false">IF('Quiz 2 Grades'!$Q50="Graded",'Quiz 2 Grades'!G50,"")</f>
        <v/>
      </c>
      <c r="AH58" s="69" t="str">
        <f aca="false">IF('Quiz 2 Grades'!$Q50="Graded",'Quiz 2 Grades'!I50,"")</f>
        <v/>
      </c>
      <c r="AI58" s="69" t="str">
        <f aca="false">IF('Quiz 2 Grades'!$Q50="Graded",'Quiz 2 Grades'!J50,"")</f>
        <v/>
      </c>
      <c r="AJ58" s="69" t="str">
        <f aca="false">IF('Quiz 2 Grades'!$Q50="Graded",'Quiz 2 Grades'!K50,"")</f>
        <v/>
      </c>
      <c r="AK58" s="69" t="str">
        <f aca="false">IF(ISNUMBER(AB58),AB58-AC58,"")</f>
        <v/>
      </c>
      <c r="AL58" s="69" t="str">
        <f aca="false">IF(ISNUMBER(AB58),AB58-AD58,"")</f>
        <v/>
      </c>
      <c r="AM58" s="69" t="str">
        <f aca="false">IF(ISNUMBER(AB58),AB58-AE58,"")</f>
        <v/>
      </c>
      <c r="AN58" s="69" t="str">
        <f aca="false">IF(ISNUMBER(AB58),AB58-AF58,"")</f>
        <v/>
      </c>
      <c r="AO58" s="69" t="str">
        <f aca="false">IF(ISNUMBER(AB58),AB58-AG58,"")</f>
        <v/>
      </c>
      <c r="AP58" s="69" t="str">
        <f aca="false">IF(ISNUMBER(AB58),AB58-AH58,"")</f>
        <v/>
      </c>
      <c r="AQ58" s="69" t="str">
        <f aca="false">IF(ISNUMBER(AB58),AB58-AI58,"")</f>
        <v/>
      </c>
      <c r="AR58" s="69" t="str">
        <f aca="false">IF(ISNUMBER(AB58),AB58-AJ58,"")</f>
        <v/>
      </c>
    </row>
    <row r="59" customFormat="false" ht="14.25" hidden="false" customHeight="false" outlineLevel="0" collapsed="false">
      <c r="A59" s="17" t="str">
        <f aca="false">'Quiz 2 Grades'!E6</f>
        <v>1.2 b</v>
      </c>
      <c r="B59" s="81" t="n">
        <f aca="false">'Quiz 2 Grades'!E$5</f>
        <v>1</v>
      </c>
      <c r="C59" s="82" t="str">
        <f aca="false">IFERROR(AVERAGE($AE$15:$AE$66),"")</f>
        <v/>
      </c>
      <c r="D59" s="15" t="str">
        <f aca="false">IFERROR(C59/B59,"")</f>
        <v/>
      </c>
      <c r="E59" s="82" t="str">
        <f aca="false">IFERROR(STDEV($AE$15:$AE$66),"")</f>
        <v/>
      </c>
      <c r="F59" s="70" t="str">
        <f aca="false">IFERROR(CORREL($AE$15:$AE$66,$AM$15:$AM$66),"")</f>
        <v/>
      </c>
      <c r="G59" s="12" t="str">
        <f aca="false">IF(ISNUMBER(F59),IF(F59&gt;=0.3,"Good",IF(F59&gt;=0.2,"Fair","Weak")),"")</f>
        <v/>
      </c>
      <c r="H59" s="83" t="str">
        <f aca="false">IF(D59="","",IF(D59&lt;0.5,"Hard for most",IF(D59&gt;0.9,"Very easy",""))&amp;IF(AND(ISNUMBER(F59),F59&lt;0.2)," · check key/wording",""))</f>
        <v/>
      </c>
      <c r="P59" s="65" t="n">
        <v>45</v>
      </c>
      <c r="Q59" s="65" t="e">
        <f aca="false">IF(P59&lt;=nGraded,SMALL(Totals,P59),NA())</f>
        <v>#N/A</v>
      </c>
      <c r="R59" s="66" t="str">
        <f aca="false">IF(P59&lt;=nGraded,(P59-0.375)/(nGraded+0.25),"")</f>
        <v/>
      </c>
      <c r="S59" s="66" t="str">
        <f aca="false">IF(P59&lt;=nGraded,NORMSINV(R59),"")</f>
        <v/>
      </c>
      <c r="T59" s="66" t="e">
        <f aca="false">IFERROR(IF(P59&lt;=nGraded,MeanScore+SDScore*S59,NA()),NA())</f>
        <v>#N/A</v>
      </c>
      <c r="U59" s="66" t="str">
        <f aca="false">IFERROR(IF(P59&gt;nGraded,"",IF(P59=nGraded,$Z$19,IF(P59=nGraded-1,$Z$20,IF(P59=1,-$Z$19,IF(P59=2,-$Z$20,S59/SQRT($Z$21)))))),"")</f>
        <v/>
      </c>
      <c r="V59" s="66" t="str">
        <f aca="false">IFERROR(IF(P59&lt;=nGraded,U59*Q59,""),"")</f>
        <v/>
      </c>
      <c r="W59" s="66" t="str">
        <f aca="false">IFERROR(IF(P59&lt;=nGraded,(2*P59-1)*(LN(NORMDIST(Q59,MeanScore,SDScore,TRUE()))+LN(1-NORMDIST(LARGE(Totals,P59),MeanScore,SDScore,TRUE()))),""),"")</f>
        <v/>
      </c>
      <c r="AB59" s="69" t="str">
        <f aca="false">IF('Quiz 2 Grades'!$Q51="Graded",'Quiz 2 Grades'!$M51,"")</f>
        <v/>
      </c>
      <c r="AC59" s="69" t="str">
        <f aca="false">IF('Quiz 2 Grades'!$Q51="Graded",'Quiz 2 Grades'!C51,"")</f>
        <v/>
      </c>
      <c r="AD59" s="69" t="str">
        <f aca="false">IF('Quiz 2 Grades'!$Q51="Graded",'Quiz 2 Grades'!D51,"")</f>
        <v/>
      </c>
      <c r="AE59" s="69" t="str">
        <f aca="false">IF('Quiz 2 Grades'!$Q51="Graded",'Quiz 2 Grades'!E51,"")</f>
        <v/>
      </c>
      <c r="AF59" s="69" t="str">
        <f aca="false">IF('Quiz 2 Grades'!$Q51="Graded",'Quiz 2 Grades'!F51,"")</f>
        <v/>
      </c>
      <c r="AG59" s="69" t="str">
        <f aca="false">IF('Quiz 2 Grades'!$Q51="Graded",'Quiz 2 Grades'!G51,"")</f>
        <v/>
      </c>
      <c r="AH59" s="69" t="str">
        <f aca="false">IF('Quiz 2 Grades'!$Q51="Graded",'Quiz 2 Grades'!I51,"")</f>
        <v/>
      </c>
      <c r="AI59" s="69" t="str">
        <f aca="false">IF('Quiz 2 Grades'!$Q51="Graded",'Quiz 2 Grades'!J51,"")</f>
        <v/>
      </c>
      <c r="AJ59" s="69" t="str">
        <f aca="false">IF('Quiz 2 Grades'!$Q51="Graded",'Quiz 2 Grades'!K51,"")</f>
        <v/>
      </c>
      <c r="AK59" s="69" t="str">
        <f aca="false">IF(ISNUMBER(AB59),AB59-AC59,"")</f>
        <v/>
      </c>
      <c r="AL59" s="69" t="str">
        <f aca="false">IF(ISNUMBER(AB59),AB59-AD59,"")</f>
        <v/>
      </c>
      <c r="AM59" s="69" t="str">
        <f aca="false">IF(ISNUMBER(AB59),AB59-AE59,"")</f>
        <v/>
      </c>
      <c r="AN59" s="69" t="str">
        <f aca="false">IF(ISNUMBER(AB59),AB59-AF59,"")</f>
        <v/>
      </c>
      <c r="AO59" s="69" t="str">
        <f aca="false">IF(ISNUMBER(AB59),AB59-AG59,"")</f>
        <v/>
      </c>
      <c r="AP59" s="69" t="str">
        <f aca="false">IF(ISNUMBER(AB59),AB59-AH59,"")</f>
        <v/>
      </c>
      <c r="AQ59" s="69" t="str">
        <f aca="false">IF(ISNUMBER(AB59),AB59-AI59,"")</f>
        <v/>
      </c>
      <c r="AR59" s="69" t="str">
        <f aca="false">IF(ISNUMBER(AB59),AB59-AJ59,"")</f>
        <v/>
      </c>
    </row>
    <row r="60" customFormat="false" ht="14.25" hidden="false" customHeight="false" outlineLevel="0" collapsed="false">
      <c r="A60" s="17" t="str">
        <f aca="false">'Quiz 2 Grades'!F6</f>
        <v>1.2 c</v>
      </c>
      <c r="B60" s="81" t="n">
        <f aca="false">'Quiz 2 Grades'!F$5</f>
        <v>3</v>
      </c>
      <c r="C60" s="82" t="str">
        <f aca="false">IFERROR(AVERAGE($AF$15:$AF$66),"")</f>
        <v/>
      </c>
      <c r="D60" s="15" t="str">
        <f aca="false">IFERROR(C60/B60,"")</f>
        <v/>
      </c>
      <c r="E60" s="82" t="str">
        <f aca="false">IFERROR(STDEV($AF$15:$AF$66),"")</f>
        <v/>
      </c>
      <c r="F60" s="70" t="str">
        <f aca="false">IFERROR(CORREL($AF$15:$AF$66,$AN$15:$AN$66),"")</f>
        <v/>
      </c>
      <c r="G60" s="12" t="str">
        <f aca="false">IF(ISNUMBER(F60),IF(F60&gt;=0.3,"Good",IF(F60&gt;=0.2,"Fair","Weak")),"")</f>
        <v/>
      </c>
      <c r="H60" s="83" t="str">
        <f aca="false">IF(D60="","",IF(D60&lt;0.5,"Hard for most",IF(D60&gt;0.9,"Very easy",""))&amp;IF(AND(ISNUMBER(F60),F60&lt;0.2)," · check key/wording",""))</f>
        <v/>
      </c>
      <c r="P60" s="65" t="n">
        <v>46</v>
      </c>
      <c r="Q60" s="65" t="e">
        <f aca="false">IF(P60&lt;=nGraded,SMALL(Totals,P60),NA())</f>
        <v>#N/A</v>
      </c>
      <c r="R60" s="66" t="str">
        <f aca="false">IF(P60&lt;=nGraded,(P60-0.375)/(nGraded+0.25),"")</f>
        <v/>
      </c>
      <c r="S60" s="66" t="str">
        <f aca="false">IF(P60&lt;=nGraded,NORMSINV(R60),"")</f>
        <v/>
      </c>
      <c r="T60" s="66" t="e">
        <f aca="false">IFERROR(IF(P60&lt;=nGraded,MeanScore+SDScore*S60,NA()),NA())</f>
        <v>#N/A</v>
      </c>
      <c r="U60" s="66" t="str">
        <f aca="false">IFERROR(IF(P60&gt;nGraded,"",IF(P60=nGraded,$Z$19,IF(P60=nGraded-1,$Z$20,IF(P60=1,-$Z$19,IF(P60=2,-$Z$20,S60/SQRT($Z$21)))))),"")</f>
        <v/>
      </c>
      <c r="V60" s="66" t="str">
        <f aca="false">IFERROR(IF(P60&lt;=nGraded,U60*Q60,""),"")</f>
        <v/>
      </c>
      <c r="W60" s="66" t="str">
        <f aca="false">IFERROR(IF(P60&lt;=nGraded,(2*P60-1)*(LN(NORMDIST(Q60,MeanScore,SDScore,TRUE()))+LN(1-NORMDIST(LARGE(Totals,P60),MeanScore,SDScore,TRUE()))),""),"")</f>
        <v/>
      </c>
      <c r="AB60" s="69" t="str">
        <f aca="false">IF('Quiz 2 Grades'!$Q52="Graded",'Quiz 2 Grades'!$M52,"")</f>
        <v/>
      </c>
      <c r="AC60" s="69" t="str">
        <f aca="false">IF('Quiz 2 Grades'!$Q52="Graded",'Quiz 2 Grades'!C52,"")</f>
        <v/>
      </c>
      <c r="AD60" s="69" t="str">
        <f aca="false">IF('Quiz 2 Grades'!$Q52="Graded",'Quiz 2 Grades'!D52,"")</f>
        <v/>
      </c>
      <c r="AE60" s="69" t="str">
        <f aca="false">IF('Quiz 2 Grades'!$Q52="Graded",'Quiz 2 Grades'!E52,"")</f>
        <v/>
      </c>
      <c r="AF60" s="69" t="str">
        <f aca="false">IF('Quiz 2 Grades'!$Q52="Graded",'Quiz 2 Grades'!F52,"")</f>
        <v/>
      </c>
      <c r="AG60" s="69" t="str">
        <f aca="false">IF('Quiz 2 Grades'!$Q52="Graded",'Quiz 2 Grades'!G52,"")</f>
        <v/>
      </c>
      <c r="AH60" s="69" t="str">
        <f aca="false">IF('Quiz 2 Grades'!$Q52="Graded",'Quiz 2 Grades'!I52,"")</f>
        <v/>
      </c>
      <c r="AI60" s="69" t="str">
        <f aca="false">IF('Quiz 2 Grades'!$Q52="Graded",'Quiz 2 Grades'!J52,"")</f>
        <v/>
      </c>
      <c r="AJ60" s="69" t="str">
        <f aca="false">IF('Quiz 2 Grades'!$Q52="Graded",'Quiz 2 Grades'!K52,"")</f>
        <v/>
      </c>
      <c r="AK60" s="69" t="str">
        <f aca="false">IF(ISNUMBER(AB60),AB60-AC60,"")</f>
        <v/>
      </c>
      <c r="AL60" s="69" t="str">
        <f aca="false">IF(ISNUMBER(AB60),AB60-AD60,"")</f>
        <v/>
      </c>
      <c r="AM60" s="69" t="str">
        <f aca="false">IF(ISNUMBER(AB60),AB60-AE60,"")</f>
        <v/>
      </c>
      <c r="AN60" s="69" t="str">
        <f aca="false">IF(ISNUMBER(AB60),AB60-AF60,"")</f>
        <v/>
      </c>
      <c r="AO60" s="69" t="str">
        <f aca="false">IF(ISNUMBER(AB60),AB60-AG60,"")</f>
        <v/>
      </c>
      <c r="AP60" s="69" t="str">
        <f aca="false">IF(ISNUMBER(AB60),AB60-AH60,"")</f>
        <v/>
      </c>
      <c r="AQ60" s="69" t="str">
        <f aca="false">IF(ISNUMBER(AB60),AB60-AI60,"")</f>
        <v/>
      </c>
      <c r="AR60" s="69" t="str">
        <f aca="false">IF(ISNUMBER(AB60),AB60-AJ60,"")</f>
        <v/>
      </c>
    </row>
    <row r="61" customFormat="false" ht="14.25" hidden="false" customHeight="false" outlineLevel="0" collapsed="false">
      <c r="A61" s="17" t="str">
        <f aca="false">'Quiz 2 Grades'!G6</f>
        <v>1.3</v>
      </c>
      <c r="B61" s="81" t="n">
        <f aca="false">'Quiz 2 Grades'!G$5</f>
        <v>10</v>
      </c>
      <c r="C61" s="82" t="str">
        <f aca="false">IFERROR(AVERAGE($AG$15:$AG$66),"")</f>
        <v/>
      </c>
      <c r="D61" s="15" t="str">
        <f aca="false">IFERROR(C61/B61,"")</f>
        <v/>
      </c>
      <c r="E61" s="82" t="str">
        <f aca="false">IFERROR(STDEV($AG$15:$AG$66),"")</f>
        <v/>
      </c>
      <c r="F61" s="70" t="str">
        <f aca="false">IFERROR(CORREL($AG$15:$AG$66,$AO$15:$AO$66),"")</f>
        <v/>
      </c>
      <c r="G61" s="12" t="str">
        <f aca="false">IF(ISNUMBER(F61),IF(F61&gt;=0.3,"Good",IF(F61&gt;=0.2,"Fair","Weak")),"")</f>
        <v/>
      </c>
      <c r="H61" s="83" t="str">
        <f aca="false">IF(D61="","",IF(D61&lt;0.5,"Hard for most",IF(D61&gt;0.9,"Very easy",""))&amp;IF(AND(ISNUMBER(F61),F61&lt;0.2)," · check key/wording",""))</f>
        <v/>
      </c>
      <c r="P61" s="65" t="n">
        <v>47</v>
      </c>
      <c r="Q61" s="65" t="e">
        <f aca="false">IF(P61&lt;=nGraded,SMALL(Totals,P61),NA())</f>
        <v>#N/A</v>
      </c>
      <c r="R61" s="66" t="str">
        <f aca="false">IF(P61&lt;=nGraded,(P61-0.375)/(nGraded+0.25),"")</f>
        <v/>
      </c>
      <c r="S61" s="66" t="str">
        <f aca="false">IF(P61&lt;=nGraded,NORMSINV(R61),"")</f>
        <v/>
      </c>
      <c r="T61" s="66" t="e">
        <f aca="false">IFERROR(IF(P61&lt;=nGraded,MeanScore+SDScore*S61,NA()),NA())</f>
        <v>#N/A</v>
      </c>
      <c r="U61" s="66" t="str">
        <f aca="false">IFERROR(IF(P61&gt;nGraded,"",IF(P61=nGraded,$Z$19,IF(P61=nGraded-1,$Z$20,IF(P61=1,-$Z$19,IF(P61=2,-$Z$20,S61/SQRT($Z$21)))))),"")</f>
        <v/>
      </c>
      <c r="V61" s="66" t="str">
        <f aca="false">IFERROR(IF(P61&lt;=nGraded,U61*Q61,""),"")</f>
        <v/>
      </c>
      <c r="W61" s="66" t="str">
        <f aca="false">IFERROR(IF(P61&lt;=nGraded,(2*P61-1)*(LN(NORMDIST(Q61,MeanScore,SDScore,TRUE()))+LN(1-NORMDIST(LARGE(Totals,P61),MeanScore,SDScore,TRUE()))),""),"")</f>
        <v/>
      </c>
      <c r="AB61" s="69" t="str">
        <f aca="false">IF('Quiz 2 Grades'!$Q53="Graded",'Quiz 2 Grades'!$M53,"")</f>
        <v/>
      </c>
      <c r="AC61" s="69" t="str">
        <f aca="false">IF('Quiz 2 Grades'!$Q53="Graded",'Quiz 2 Grades'!C53,"")</f>
        <v/>
      </c>
      <c r="AD61" s="69" t="str">
        <f aca="false">IF('Quiz 2 Grades'!$Q53="Graded",'Quiz 2 Grades'!D53,"")</f>
        <v/>
      </c>
      <c r="AE61" s="69" t="str">
        <f aca="false">IF('Quiz 2 Grades'!$Q53="Graded",'Quiz 2 Grades'!E53,"")</f>
        <v/>
      </c>
      <c r="AF61" s="69" t="str">
        <f aca="false">IF('Quiz 2 Grades'!$Q53="Graded",'Quiz 2 Grades'!F53,"")</f>
        <v/>
      </c>
      <c r="AG61" s="69" t="str">
        <f aca="false">IF('Quiz 2 Grades'!$Q53="Graded",'Quiz 2 Grades'!G53,"")</f>
        <v/>
      </c>
      <c r="AH61" s="69" t="str">
        <f aca="false">IF('Quiz 2 Grades'!$Q53="Graded",'Quiz 2 Grades'!I53,"")</f>
        <v/>
      </c>
      <c r="AI61" s="69" t="str">
        <f aca="false">IF('Quiz 2 Grades'!$Q53="Graded",'Quiz 2 Grades'!J53,"")</f>
        <v/>
      </c>
      <c r="AJ61" s="69" t="str">
        <f aca="false">IF('Quiz 2 Grades'!$Q53="Graded",'Quiz 2 Grades'!K53,"")</f>
        <v/>
      </c>
      <c r="AK61" s="69" t="str">
        <f aca="false">IF(ISNUMBER(AB61),AB61-AC61,"")</f>
        <v/>
      </c>
      <c r="AL61" s="69" t="str">
        <f aca="false">IF(ISNUMBER(AB61),AB61-AD61,"")</f>
        <v/>
      </c>
      <c r="AM61" s="69" t="str">
        <f aca="false">IF(ISNUMBER(AB61),AB61-AE61,"")</f>
        <v/>
      </c>
      <c r="AN61" s="69" t="str">
        <f aca="false">IF(ISNUMBER(AB61),AB61-AF61,"")</f>
        <v/>
      </c>
      <c r="AO61" s="69" t="str">
        <f aca="false">IF(ISNUMBER(AB61),AB61-AG61,"")</f>
        <v/>
      </c>
      <c r="AP61" s="69" t="str">
        <f aca="false">IF(ISNUMBER(AB61),AB61-AH61,"")</f>
        <v/>
      </c>
      <c r="AQ61" s="69" t="str">
        <f aca="false">IF(ISNUMBER(AB61),AB61-AI61,"")</f>
        <v/>
      </c>
      <c r="AR61" s="69" t="str">
        <f aca="false">IF(ISNUMBER(AB61),AB61-AJ61,"")</f>
        <v/>
      </c>
    </row>
    <row r="62" customFormat="false" ht="14.25" hidden="false" customHeight="false" outlineLevel="0" collapsed="false">
      <c r="A62" s="17" t="str">
        <f aca="false">'Quiz 2 Grades'!I6</f>
        <v>2.1</v>
      </c>
      <c r="B62" s="81" t="n">
        <f aca="false">'Quiz 2 Grades'!I$5</f>
        <v>5</v>
      </c>
      <c r="C62" s="82" t="str">
        <f aca="false">IFERROR(AVERAGE($AH$15:$AH$66),"")</f>
        <v/>
      </c>
      <c r="D62" s="15" t="str">
        <f aca="false">IFERROR(C62/B62,"")</f>
        <v/>
      </c>
      <c r="E62" s="82" t="str">
        <f aca="false">IFERROR(STDEV($AH$15:$AH$66),"")</f>
        <v/>
      </c>
      <c r="F62" s="70" t="str">
        <f aca="false">IFERROR(CORREL($AH$15:$AH$66,$AP$15:$AP$66),"")</f>
        <v/>
      </c>
      <c r="G62" s="12" t="str">
        <f aca="false">IF(ISNUMBER(F62),IF(F62&gt;=0.3,"Good",IF(F62&gt;=0.2,"Fair","Weak")),"")</f>
        <v/>
      </c>
      <c r="H62" s="83" t="str">
        <f aca="false">IF(D62="","",IF(D62&lt;0.5,"Hard for most",IF(D62&gt;0.9,"Very easy",""))&amp;IF(AND(ISNUMBER(F62),F62&lt;0.2)," · check key/wording",""))</f>
        <v/>
      </c>
      <c r="P62" s="65" t="n">
        <v>48</v>
      </c>
      <c r="Q62" s="65" t="e">
        <f aca="false">IF(P62&lt;=nGraded,SMALL(Totals,P62),NA())</f>
        <v>#N/A</v>
      </c>
      <c r="R62" s="66" t="str">
        <f aca="false">IF(P62&lt;=nGraded,(P62-0.375)/(nGraded+0.25),"")</f>
        <v/>
      </c>
      <c r="S62" s="66" t="str">
        <f aca="false">IF(P62&lt;=nGraded,NORMSINV(R62),"")</f>
        <v/>
      </c>
      <c r="T62" s="66" t="e">
        <f aca="false">IFERROR(IF(P62&lt;=nGraded,MeanScore+SDScore*S62,NA()),NA())</f>
        <v>#N/A</v>
      </c>
      <c r="U62" s="66" t="str">
        <f aca="false">IFERROR(IF(P62&gt;nGraded,"",IF(P62=nGraded,$Z$19,IF(P62=nGraded-1,$Z$20,IF(P62=1,-$Z$19,IF(P62=2,-$Z$20,S62/SQRT($Z$21)))))),"")</f>
        <v/>
      </c>
      <c r="V62" s="66" t="str">
        <f aca="false">IFERROR(IF(P62&lt;=nGraded,U62*Q62,""),"")</f>
        <v/>
      </c>
      <c r="W62" s="66" t="str">
        <f aca="false">IFERROR(IF(P62&lt;=nGraded,(2*P62-1)*(LN(NORMDIST(Q62,MeanScore,SDScore,TRUE()))+LN(1-NORMDIST(LARGE(Totals,P62),MeanScore,SDScore,TRUE()))),""),"")</f>
        <v/>
      </c>
      <c r="AB62" s="69" t="str">
        <f aca="false">IF('Quiz 2 Grades'!$Q54="Graded",'Quiz 2 Grades'!$M54,"")</f>
        <v/>
      </c>
      <c r="AC62" s="69" t="str">
        <f aca="false">IF('Quiz 2 Grades'!$Q54="Graded",'Quiz 2 Grades'!C54,"")</f>
        <v/>
      </c>
      <c r="AD62" s="69" t="str">
        <f aca="false">IF('Quiz 2 Grades'!$Q54="Graded",'Quiz 2 Grades'!D54,"")</f>
        <v/>
      </c>
      <c r="AE62" s="69" t="str">
        <f aca="false">IF('Quiz 2 Grades'!$Q54="Graded",'Quiz 2 Grades'!E54,"")</f>
        <v/>
      </c>
      <c r="AF62" s="69" t="str">
        <f aca="false">IF('Quiz 2 Grades'!$Q54="Graded",'Quiz 2 Grades'!F54,"")</f>
        <v/>
      </c>
      <c r="AG62" s="69" t="str">
        <f aca="false">IF('Quiz 2 Grades'!$Q54="Graded",'Quiz 2 Grades'!G54,"")</f>
        <v/>
      </c>
      <c r="AH62" s="69" t="str">
        <f aca="false">IF('Quiz 2 Grades'!$Q54="Graded",'Quiz 2 Grades'!I54,"")</f>
        <v/>
      </c>
      <c r="AI62" s="69" t="str">
        <f aca="false">IF('Quiz 2 Grades'!$Q54="Graded",'Quiz 2 Grades'!J54,"")</f>
        <v/>
      </c>
      <c r="AJ62" s="69" t="str">
        <f aca="false">IF('Quiz 2 Grades'!$Q54="Graded",'Quiz 2 Grades'!K54,"")</f>
        <v/>
      </c>
      <c r="AK62" s="69" t="str">
        <f aca="false">IF(ISNUMBER(AB62),AB62-AC62,"")</f>
        <v/>
      </c>
      <c r="AL62" s="69" t="str">
        <f aca="false">IF(ISNUMBER(AB62),AB62-AD62,"")</f>
        <v/>
      </c>
      <c r="AM62" s="69" t="str">
        <f aca="false">IF(ISNUMBER(AB62),AB62-AE62,"")</f>
        <v/>
      </c>
      <c r="AN62" s="69" t="str">
        <f aca="false">IF(ISNUMBER(AB62),AB62-AF62,"")</f>
        <v/>
      </c>
      <c r="AO62" s="69" t="str">
        <f aca="false">IF(ISNUMBER(AB62),AB62-AG62,"")</f>
        <v/>
      </c>
      <c r="AP62" s="69" t="str">
        <f aca="false">IF(ISNUMBER(AB62),AB62-AH62,"")</f>
        <v/>
      </c>
      <c r="AQ62" s="69" t="str">
        <f aca="false">IF(ISNUMBER(AB62),AB62-AI62,"")</f>
        <v/>
      </c>
      <c r="AR62" s="69" t="str">
        <f aca="false">IF(ISNUMBER(AB62),AB62-AJ62,"")</f>
        <v/>
      </c>
    </row>
    <row r="63" customFormat="false" ht="14.25" hidden="false" customHeight="false" outlineLevel="0" collapsed="false">
      <c r="A63" s="17" t="str">
        <f aca="false">'Quiz 2 Grades'!J6</f>
        <v>2.2</v>
      </c>
      <c r="B63" s="81" t="n">
        <f aca="false">'Quiz 2 Grades'!J$5</f>
        <v>5</v>
      </c>
      <c r="C63" s="82" t="str">
        <f aca="false">IFERROR(AVERAGE($AI$15:$AI$66),"")</f>
        <v/>
      </c>
      <c r="D63" s="15" t="str">
        <f aca="false">IFERROR(C63/B63,"")</f>
        <v/>
      </c>
      <c r="E63" s="82" t="str">
        <f aca="false">IFERROR(STDEV($AI$15:$AI$66),"")</f>
        <v/>
      </c>
      <c r="F63" s="70" t="str">
        <f aca="false">IFERROR(CORREL($AI$15:$AI$66,$AQ$15:$AQ$66),"")</f>
        <v/>
      </c>
      <c r="G63" s="12" t="str">
        <f aca="false">IF(ISNUMBER(F63),IF(F63&gt;=0.3,"Good",IF(F63&gt;=0.2,"Fair","Weak")),"")</f>
        <v/>
      </c>
      <c r="H63" s="83" t="str">
        <f aca="false">IF(D63="","",IF(D63&lt;0.5,"Hard for most",IF(D63&gt;0.9,"Very easy",""))&amp;IF(AND(ISNUMBER(F63),F63&lt;0.2)," · check key/wording",""))</f>
        <v/>
      </c>
      <c r="P63" s="65" t="n">
        <v>49</v>
      </c>
      <c r="Q63" s="65" t="e">
        <f aca="false">IF(P63&lt;=nGraded,SMALL(Totals,P63),NA())</f>
        <v>#N/A</v>
      </c>
      <c r="R63" s="66" t="str">
        <f aca="false">IF(P63&lt;=nGraded,(P63-0.375)/(nGraded+0.25),"")</f>
        <v/>
      </c>
      <c r="S63" s="66" t="str">
        <f aca="false">IF(P63&lt;=nGraded,NORMSINV(R63),"")</f>
        <v/>
      </c>
      <c r="T63" s="66" t="e">
        <f aca="false">IFERROR(IF(P63&lt;=nGraded,MeanScore+SDScore*S63,NA()),NA())</f>
        <v>#N/A</v>
      </c>
      <c r="U63" s="66" t="str">
        <f aca="false">IFERROR(IF(P63&gt;nGraded,"",IF(P63=nGraded,$Z$19,IF(P63=nGraded-1,$Z$20,IF(P63=1,-$Z$19,IF(P63=2,-$Z$20,S63/SQRT($Z$21)))))),"")</f>
        <v/>
      </c>
      <c r="V63" s="66" t="str">
        <f aca="false">IFERROR(IF(P63&lt;=nGraded,U63*Q63,""),"")</f>
        <v/>
      </c>
      <c r="W63" s="66" t="str">
        <f aca="false">IFERROR(IF(P63&lt;=nGraded,(2*P63-1)*(LN(NORMDIST(Q63,MeanScore,SDScore,TRUE()))+LN(1-NORMDIST(LARGE(Totals,P63),MeanScore,SDScore,TRUE()))),""),"")</f>
        <v/>
      </c>
      <c r="AB63" s="69" t="str">
        <f aca="false">IF('Quiz 2 Grades'!$Q55="Graded",'Quiz 2 Grades'!$M55,"")</f>
        <v/>
      </c>
      <c r="AC63" s="69" t="str">
        <f aca="false">IF('Quiz 2 Grades'!$Q55="Graded",'Quiz 2 Grades'!C55,"")</f>
        <v/>
      </c>
      <c r="AD63" s="69" t="str">
        <f aca="false">IF('Quiz 2 Grades'!$Q55="Graded",'Quiz 2 Grades'!D55,"")</f>
        <v/>
      </c>
      <c r="AE63" s="69" t="str">
        <f aca="false">IF('Quiz 2 Grades'!$Q55="Graded",'Quiz 2 Grades'!E55,"")</f>
        <v/>
      </c>
      <c r="AF63" s="69" t="str">
        <f aca="false">IF('Quiz 2 Grades'!$Q55="Graded",'Quiz 2 Grades'!F55,"")</f>
        <v/>
      </c>
      <c r="AG63" s="69" t="str">
        <f aca="false">IF('Quiz 2 Grades'!$Q55="Graded",'Quiz 2 Grades'!G55,"")</f>
        <v/>
      </c>
      <c r="AH63" s="69" t="str">
        <f aca="false">IF('Quiz 2 Grades'!$Q55="Graded",'Quiz 2 Grades'!I55,"")</f>
        <v/>
      </c>
      <c r="AI63" s="69" t="str">
        <f aca="false">IF('Quiz 2 Grades'!$Q55="Graded",'Quiz 2 Grades'!J55,"")</f>
        <v/>
      </c>
      <c r="AJ63" s="69" t="str">
        <f aca="false">IF('Quiz 2 Grades'!$Q55="Graded",'Quiz 2 Grades'!K55,"")</f>
        <v/>
      </c>
      <c r="AK63" s="69" t="str">
        <f aca="false">IF(ISNUMBER(AB63),AB63-AC63,"")</f>
        <v/>
      </c>
      <c r="AL63" s="69" t="str">
        <f aca="false">IF(ISNUMBER(AB63),AB63-AD63,"")</f>
        <v/>
      </c>
      <c r="AM63" s="69" t="str">
        <f aca="false">IF(ISNUMBER(AB63),AB63-AE63,"")</f>
        <v/>
      </c>
      <c r="AN63" s="69" t="str">
        <f aca="false">IF(ISNUMBER(AB63),AB63-AF63,"")</f>
        <v/>
      </c>
      <c r="AO63" s="69" t="str">
        <f aca="false">IF(ISNUMBER(AB63),AB63-AG63,"")</f>
        <v/>
      </c>
      <c r="AP63" s="69" t="str">
        <f aca="false">IF(ISNUMBER(AB63),AB63-AH63,"")</f>
        <v/>
      </c>
      <c r="AQ63" s="69" t="str">
        <f aca="false">IF(ISNUMBER(AB63),AB63-AI63,"")</f>
        <v/>
      </c>
      <c r="AR63" s="69" t="str">
        <f aca="false">IF(ISNUMBER(AB63),AB63-AJ63,"")</f>
        <v/>
      </c>
    </row>
    <row r="64" customFormat="false" ht="14.25" hidden="false" customHeight="false" outlineLevel="0" collapsed="false">
      <c r="A64" s="17" t="str">
        <f aca="false">'Quiz 2 Grades'!K6</f>
        <v>2.3</v>
      </c>
      <c r="B64" s="81" t="n">
        <f aca="false">'Quiz 2 Grades'!K$5</f>
        <v>5</v>
      </c>
      <c r="C64" s="82" t="str">
        <f aca="false">IFERROR(AVERAGE($AJ$15:$AJ$66),"")</f>
        <v/>
      </c>
      <c r="D64" s="15" t="str">
        <f aca="false">IFERROR(C64/B64,"")</f>
        <v/>
      </c>
      <c r="E64" s="82" t="str">
        <f aca="false">IFERROR(STDEV($AJ$15:$AJ$66),"")</f>
        <v/>
      </c>
      <c r="F64" s="70" t="str">
        <f aca="false">IFERROR(CORREL($AJ$15:$AJ$66,$AR$15:$AR$66),"")</f>
        <v/>
      </c>
      <c r="G64" s="12" t="str">
        <f aca="false">IF(ISNUMBER(F64),IF(F64&gt;=0.3,"Good",IF(F64&gt;=0.2,"Fair","Weak")),"")</f>
        <v/>
      </c>
      <c r="H64" s="83" t="str">
        <f aca="false">IF(D64="","",IF(D64&lt;0.5,"Hard for most",IF(D64&gt;0.9,"Very easy",""))&amp;IF(AND(ISNUMBER(F64),F64&lt;0.2)," · check key/wording",""))</f>
        <v/>
      </c>
      <c r="P64" s="65" t="n">
        <v>50</v>
      </c>
      <c r="Q64" s="65" t="e">
        <f aca="false">IF(P64&lt;=nGraded,SMALL(Totals,P64),NA())</f>
        <v>#N/A</v>
      </c>
      <c r="R64" s="66" t="str">
        <f aca="false">IF(P64&lt;=nGraded,(P64-0.375)/(nGraded+0.25),"")</f>
        <v/>
      </c>
      <c r="S64" s="66" t="str">
        <f aca="false">IF(P64&lt;=nGraded,NORMSINV(R64),"")</f>
        <v/>
      </c>
      <c r="T64" s="66" t="e">
        <f aca="false">IFERROR(IF(P64&lt;=nGraded,MeanScore+SDScore*S64,NA()),NA())</f>
        <v>#N/A</v>
      </c>
      <c r="U64" s="66" t="str">
        <f aca="false">IFERROR(IF(P64&gt;nGraded,"",IF(P64=nGraded,$Z$19,IF(P64=nGraded-1,$Z$20,IF(P64=1,-$Z$19,IF(P64=2,-$Z$20,S64/SQRT($Z$21)))))),"")</f>
        <v/>
      </c>
      <c r="V64" s="66" t="str">
        <f aca="false">IFERROR(IF(P64&lt;=nGraded,U64*Q64,""),"")</f>
        <v/>
      </c>
      <c r="W64" s="66" t="str">
        <f aca="false">IFERROR(IF(P64&lt;=nGraded,(2*P64-1)*(LN(NORMDIST(Q64,MeanScore,SDScore,TRUE()))+LN(1-NORMDIST(LARGE(Totals,P64),MeanScore,SDScore,TRUE()))),""),"")</f>
        <v/>
      </c>
      <c r="AB64" s="69" t="str">
        <f aca="false">IF('Quiz 2 Grades'!$Q56="Graded",'Quiz 2 Grades'!$M56,"")</f>
        <v/>
      </c>
      <c r="AC64" s="69" t="str">
        <f aca="false">IF('Quiz 2 Grades'!$Q56="Graded",'Quiz 2 Grades'!C56,"")</f>
        <v/>
      </c>
      <c r="AD64" s="69" t="str">
        <f aca="false">IF('Quiz 2 Grades'!$Q56="Graded",'Quiz 2 Grades'!D56,"")</f>
        <v/>
      </c>
      <c r="AE64" s="69" t="str">
        <f aca="false">IF('Quiz 2 Grades'!$Q56="Graded",'Quiz 2 Grades'!E56,"")</f>
        <v/>
      </c>
      <c r="AF64" s="69" t="str">
        <f aca="false">IF('Quiz 2 Grades'!$Q56="Graded",'Quiz 2 Grades'!F56,"")</f>
        <v/>
      </c>
      <c r="AG64" s="69" t="str">
        <f aca="false">IF('Quiz 2 Grades'!$Q56="Graded",'Quiz 2 Grades'!G56,"")</f>
        <v/>
      </c>
      <c r="AH64" s="69" t="str">
        <f aca="false">IF('Quiz 2 Grades'!$Q56="Graded",'Quiz 2 Grades'!I56,"")</f>
        <v/>
      </c>
      <c r="AI64" s="69" t="str">
        <f aca="false">IF('Quiz 2 Grades'!$Q56="Graded",'Quiz 2 Grades'!J56,"")</f>
        <v/>
      </c>
      <c r="AJ64" s="69" t="str">
        <f aca="false">IF('Quiz 2 Grades'!$Q56="Graded",'Quiz 2 Grades'!K56,"")</f>
        <v/>
      </c>
      <c r="AK64" s="69" t="str">
        <f aca="false">IF(ISNUMBER(AB64),AB64-AC64,"")</f>
        <v/>
      </c>
      <c r="AL64" s="69" t="str">
        <f aca="false">IF(ISNUMBER(AB64),AB64-AD64,"")</f>
        <v/>
      </c>
      <c r="AM64" s="69" t="str">
        <f aca="false">IF(ISNUMBER(AB64),AB64-AE64,"")</f>
        <v/>
      </c>
      <c r="AN64" s="69" t="str">
        <f aca="false">IF(ISNUMBER(AB64),AB64-AF64,"")</f>
        <v/>
      </c>
      <c r="AO64" s="69" t="str">
        <f aca="false">IF(ISNUMBER(AB64),AB64-AG64,"")</f>
        <v/>
      </c>
      <c r="AP64" s="69" t="str">
        <f aca="false">IF(ISNUMBER(AB64),AB64-AH64,"")</f>
        <v/>
      </c>
      <c r="AQ64" s="69" t="str">
        <f aca="false">IF(ISNUMBER(AB64),AB64-AI64,"")</f>
        <v/>
      </c>
      <c r="AR64" s="69" t="str">
        <f aca="false">IF(ISNUMBER(AB64),AB64-AJ64,"")</f>
        <v/>
      </c>
    </row>
    <row r="65" customFormat="false" ht="14.25" hidden="false" customHeight="false" outlineLevel="0" collapsed="false">
      <c r="A65" s="4" t="s">
        <v>463</v>
      </c>
      <c r="C65" s="70" t="str">
        <f aca="false">IFERROR((8/(8-1))*(1-(VAR($AC$15:$AC$66)+VAR($AD$15:$AD$66)+VAR($AE$15:$AE$66)+VAR($AF$15:$AF$66)+VAR($AG$15:$AG$66)+VAR($AH$15:$AH$66)+VAR($AI$15:$AI$66)+VAR($AJ$15:$AJ$66))/VAR($AB$15:$AB$66)),"")</f>
        <v/>
      </c>
      <c r="D65" s="17" t="str">
        <f aca="false">IF(ISNUMBER(C65),IF(C65&gt;=0.7,"Acceptable",IF(C65&gt;=0.5,"Moderate","Low")),"")</f>
        <v/>
      </c>
      <c r="E65" s="84" t="s">
        <v>464</v>
      </c>
      <c r="F65" s="84"/>
      <c r="G65" s="84"/>
      <c r="H65" s="84"/>
      <c r="P65" s="65" t="n">
        <v>51</v>
      </c>
      <c r="Q65" s="65" t="e">
        <f aca="false">IF(P65&lt;=nGraded,SMALL(Totals,P65),NA())</f>
        <v>#N/A</v>
      </c>
      <c r="R65" s="66" t="str">
        <f aca="false">IF(P65&lt;=nGraded,(P65-0.375)/(nGraded+0.25),"")</f>
        <v/>
      </c>
      <c r="S65" s="66" t="str">
        <f aca="false">IF(P65&lt;=nGraded,NORMSINV(R65),"")</f>
        <v/>
      </c>
      <c r="T65" s="66" t="e">
        <f aca="false">IFERROR(IF(P65&lt;=nGraded,MeanScore+SDScore*S65,NA()),NA())</f>
        <v>#N/A</v>
      </c>
      <c r="U65" s="66" t="str">
        <f aca="false">IFERROR(IF(P65&gt;nGraded,"",IF(P65=nGraded,$Z$19,IF(P65=nGraded-1,$Z$20,IF(P65=1,-$Z$19,IF(P65=2,-$Z$20,S65/SQRT($Z$21)))))),"")</f>
        <v/>
      </c>
      <c r="V65" s="66" t="str">
        <f aca="false">IFERROR(IF(P65&lt;=nGraded,U65*Q65,""),"")</f>
        <v/>
      </c>
      <c r="W65" s="66" t="str">
        <f aca="false">IFERROR(IF(P65&lt;=nGraded,(2*P65-1)*(LN(NORMDIST(Q65,MeanScore,SDScore,TRUE()))+LN(1-NORMDIST(LARGE(Totals,P65),MeanScore,SDScore,TRUE()))),""),"")</f>
        <v/>
      </c>
      <c r="AB65" s="69" t="str">
        <f aca="false">IF('Quiz 2 Grades'!$Q57="Graded",'Quiz 2 Grades'!$M57,"")</f>
        <v/>
      </c>
      <c r="AC65" s="69" t="str">
        <f aca="false">IF('Quiz 2 Grades'!$Q57="Graded",'Quiz 2 Grades'!C57,"")</f>
        <v/>
      </c>
      <c r="AD65" s="69" t="str">
        <f aca="false">IF('Quiz 2 Grades'!$Q57="Graded",'Quiz 2 Grades'!D57,"")</f>
        <v/>
      </c>
      <c r="AE65" s="69" t="str">
        <f aca="false">IF('Quiz 2 Grades'!$Q57="Graded",'Quiz 2 Grades'!E57,"")</f>
        <v/>
      </c>
      <c r="AF65" s="69" t="str">
        <f aca="false">IF('Quiz 2 Grades'!$Q57="Graded",'Quiz 2 Grades'!F57,"")</f>
        <v/>
      </c>
      <c r="AG65" s="69" t="str">
        <f aca="false">IF('Quiz 2 Grades'!$Q57="Graded",'Quiz 2 Grades'!G57,"")</f>
        <v/>
      </c>
      <c r="AH65" s="69" t="str">
        <f aca="false">IF('Quiz 2 Grades'!$Q57="Graded",'Quiz 2 Grades'!I57,"")</f>
        <v/>
      </c>
      <c r="AI65" s="69" t="str">
        <f aca="false">IF('Quiz 2 Grades'!$Q57="Graded",'Quiz 2 Grades'!J57,"")</f>
        <v/>
      </c>
      <c r="AJ65" s="69" t="str">
        <f aca="false">IF('Quiz 2 Grades'!$Q57="Graded",'Quiz 2 Grades'!K57,"")</f>
        <v/>
      </c>
      <c r="AK65" s="69" t="str">
        <f aca="false">IF(ISNUMBER(AB65),AB65-AC65,"")</f>
        <v/>
      </c>
      <c r="AL65" s="69" t="str">
        <f aca="false">IF(ISNUMBER(AB65),AB65-AD65,"")</f>
        <v/>
      </c>
      <c r="AM65" s="69" t="str">
        <f aca="false">IF(ISNUMBER(AB65),AB65-AE65,"")</f>
        <v/>
      </c>
      <c r="AN65" s="69" t="str">
        <f aca="false">IF(ISNUMBER(AB65),AB65-AF65,"")</f>
        <v/>
      </c>
      <c r="AO65" s="69" t="str">
        <f aca="false">IF(ISNUMBER(AB65),AB65-AG65,"")</f>
        <v/>
      </c>
      <c r="AP65" s="69" t="str">
        <f aca="false">IF(ISNUMBER(AB65),AB65-AH65,"")</f>
        <v/>
      </c>
      <c r="AQ65" s="69" t="str">
        <f aca="false">IF(ISNUMBER(AB65),AB65-AI65,"")</f>
        <v/>
      </c>
      <c r="AR65" s="69" t="str">
        <f aca="false">IF(ISNUMBER(AB65),AB65-AJ65,"")</f>
        <v/>
      </c>
    </row>
    <row r="66" customFormat="false" ht="14.25" hidden="false" customHeight="false" outlineLevel="0" collapsed="false">
      <c r="A66" s="51" t="s">
        <v>465</v>
      </c>
      <c r="P66" s="65" t="n">
        <v>52</v>
      </c>
      <c r="Q66" s="65" t="e">
        <f aca="false">IF(P66&lt;=nGraded,SMALL(Totals,P66),NA())</f>
        <v>#N/A</v>
      </c>
      <c r="R66" s="66" t="str">
        <f aca="false">IF(P66&lt;=nGraded,(P66-0.375)/(nGraded+0.25),"")</f>
        <v/>
      </c>
      <c r="S66" s="66" t="str">
        <f aca="false">IF(P66&lt;=nGraded,NORMSINV(R66),"")</f>
        <v/>
      </c>
      <c r="T66" s="66" t="e">
        <f aca="false">IFERROR(IF(P66&lt;=nGraded,MeanScore+SDScore*S66,NA()),NA())</f>
        <v>#N/A</v>
      </c>
      <c r="U66" s="66" t="str">
        <f aca="false">IFERROR(IF(P66&gt;nGraded,"",IF(P66=nGraded,$Z$19,IF(P66=nGraded-1,$Z$20,IF(P66=1,-$Z$19,IF(P66=2,-$Z$20,S66/SQRT($Z$21)))))),"")</f>
        <v/>
      </c>
      <c r="V66" s="66" t="str">
        <f aca="false">IFERROR(IF(P66&lt;=nGraded,U66*Q66,""),"")</f>
        <v/>
      </c>
      <c r="W66" s="66" t="str">
        <f aca="false">IFERROR(IF(P66&lt;=nGraded,(2*P66-1)*(LN(NORMDIST(Q66,MeanScore,SDScore,TRUE()))+LN(1-NORMDIST(LARGE(Totals,P66),MeanScore,SDScore,TRUE()))),""),"")</f>
        <v/>
      </c>
      <c r="AB66" s="69" t="str">
        <f aca="false">IF('Quiz 2 Grades'!$Q58="Graded",'Quiz 2 Grades'!$M58,"")</f>
        <v/>
      </c>
      <c r="AC66" s="69" t="str">
        <f aca="false">IF('Quiz 2 Grades'!$Q58="Graded",'Quiz 2 Grades'!C58,"")</f>
        <v/>
      </c>
      <c r="AD66" s="69" t="str">
        <f aca="false">IF('Quiz 2 Grades'!$Q58="Graded",'Quiz 2 Grades'!D58,"")</f>
        <v/>
      </c>
      <c r="AE66" s="69" t="str">
        <f aca="false">IF('Quiz 2 Grades'!$Q58="Graded",'Quiz 2 Grades'!E58,"")</f>
        <v/>
      </c>
      <c r="AF66" s="69" t="str">
        <f aca="false">IF('Quiz 2 Grades'!$Q58="Graded",'Quiz 2 Grades'!F58,"")</f>
        <v/>
      </c>
      <c r="AG66" s="69" t="str">
        <f aca="false">IF('Quiz 2 Grades'!$Q58="Graded",'Quiz 2 Grades'!G58,"")</f>
        <v/>
      </c>
      <c r="AH66" s="69" t="str">
        <f aca="false">IF('Quiz 2 Grades'!$Q58="Graded",'Quiz 2 Grades'!I58,"")</f>
        <v/>
      </c>
      <c r="AI66" s="69" t="str">
        <f aca="false">IF('Quiz 2 Grades'!$Q58="Graded",'Quiz 2 Grades'!J58,"")</f>
        <v/>
      </c>
      <c r="AJ66" s="69" t="str">
        <f aca="false">IF('Quiz 2 Grades'!$Q58="Graded",'Quiz 2 Grades'!K58,"")</f>
        <v/>
      </c>
      <c r="AK66" s="69" t="str">
        <f aca="false">IF(ISNUMBER(AB66),AB66-AC66,"")</f>
        <v/>
      </c>
      <c r="AL66" s="69" t="str">
        <f aca="false">IF(ISNUMBER(AB66),AB66-AD66,"")</f>
        <v/>
      </c>
      <c r="AM66" s="69" t="str">
        <f aca="false">IF(ISNUMBER(AB66),AB66-AE66,"")</f>
        <v/>
      </c>
      <c r="AN66" s="69" t="str">
        <f aca="false">IF(ISNUMBER(AB66),AB66-AF66,"")</f>
        <v/>
      </c>
      <c r="AO66" s="69" t="str">
        <f aca="false">IF(ISNUMBER(AB66),AB66-AG66,"")</f>
        <v/>
      </c>
      <c r="AP66" s="69" t="str">
        <f aca="false">IF(ISNUMBER(AB66),AB66-AH66,"")</f>
        <v/>
      </c>
      <c r="AQ66" s="69" t="str">
        <f aca="false">IF(ISNUMBER(AB66),AB66-AI66,"")</f>
        <v/>
      </c>
      <c r="AR66" s="69" t="str">
        <f aca="false">IF(ISNUMBER(AB66),AB66-AJ66,"")</f>
        <v/>
      </c>
    </row>
    <row r="67" customFormat="false" ht="14.25" hidden="false" customHeight="false" outlineLevel="0" collapsed="false">
      <c r="P67" s="51" t="s">
        <v>466</v>
      </c>
    </row>
    <row r="68" customFormat="false" ht="21.75" hidden="false" customHeight="true" outlineLevel="0" collapsed="false">
      <c r="A68" s="3" t="s">
        <v>467</v>
      </c>
      <c r="B68" s="3"/>
      <c r="C68" s="3"/>
      <c r="D68" s="3"/>
      <c r="E68" s="3"/>
      <c r="F68" s="3"/>
      <c r="G68" s="3"/>
      <c r="H68" s="3"/>
    </row>
    <row r="69" customFormat="false" ht="30" hidden="false" customHeight="true" outlineLevel="0" collapsed="false">
      <c r="A69" s="11" t="s">
        <v>54</v>
      </c>
      <c r="B69" s="11" t="s">
        <v>280</v>
      </c>
      <c r="C69" s="11" t="s">
        <v>340</v>
      </c>
      <c r="D69" s="11" t="s">
        <v>287</v>
      </c>
      <c r="E69" s="11" t="s">
        <v>468</v>
      </c>
      <c r="F69" s="11" t="s">
        <v>469</v>
      </c>
      <c r="G69" s="11" t="s">
        <v>470</v>
      </c>
      <c r="H69" s="11" t="s">
        <v>424</v>
      </c>
    </row>
    <row r="70" customFormat="false" ht="14.25" hidden="false" customHeight="false" outlineLevel="0" collapsed="false">
      <c r="A70" s="17" t="n">
        <f aca="false">'Quiz 2 Grades'!A7</f>
        <v>1</v>
      </c>
      <c r="B70" s="22" t="str">
        <f aca="false">'Quiz 2 Grades'!B7</f>
        <v>David Abagwe</v>
      </c>
      <c r="C70" s="17" t="str">
        <f aca="false">IF(ISNUMBER('Quiz 2 Grades'!M7),'Quiz 2 Grades'!M7,'Quiz 2 Grades'!Q7)</f>
        <v>Missing</v>
      </c>
      <c r="D70" s="15" t="str">
        <f aca="false">IF(ISNUMBER(C70),C70/MaxScore,"")</f>
        <v/>
      </c>
      <c r="E70" s="85" t="str">
        <f aca="false">IFERROR(IF(ISNUMBER(C70),(C70-MeanScore)/SDScore,""),"")</f>
        <v/>
      </c>
      <c r="F70" s="15" t="str">
        <f aca="false">IFERROR(IF(ISNUMBER(C70),PERCENTRANK(Totals,C70),""),"")</f>
        <v/>
      </c>
      <c r="G70" s="15" t="str">
        <f aca="false">IF(ISNUMBER(E70),NORMSDIST(E70),"")</f>
        <v/>
      </c>
      <c r="H70" s="12" t="str">
        <f aca="false">IF(ISNUMBER(E70),IF(E70&gt;=1,"Above +1σ",IF(E70&gt;=0,"Mean to +1σ",IF(E70&gt;=-1,"−1σ to mean",IF(E70&gt;=-2,"−2σ to −1σ","Below −2σ")))),"")</f>
        <v/>
      </c>
    </row>
    <row r="71" customFormat="false" ht="14.25" hidden="false" customHeight="false" outlineLevel="0" collapsed="false">
      <c r="A71" s="17" t="n">
        <f aca="false">'Quiz 2 Grades'!A8</f>
        <v>2</v>
      </c>
      <c r="B71" s="22" t="str">
        <f aca="false">'Quiz 2 Grades'!B8</f>
        <v>Sonu Acharya</v>
      </c>
      <c r="C71" s="17" t="str">
        <f aca="false">IF(ISNUMBER('Quiz 2 Grades'!M8),'Quiz 2 Grades'!M8,'Quiz 2 Grades'!Q8)</f>
        <v>Missing</v>
      </c>
      <c r="D71" s="15" t="str">
        <f aca="false">IF(ISNUMBER(C71),C71/MaxScore,"")</f>
        <v/>
      </c>
      <c r="E71" s="85" t="str">
        <f aca="false">IFERROR(IF(ISNUMBER(C71),(C71-MeanScore)/SDScore,""),"")</f>
        <v/>
      </c>
      <c r="F71" s="15" t="str">
        <f aca="false">IFERROR(IF(ISNUMBER(C71),PERCENTRANK(Totals,C71),""),"")</f>
        <v/>
      </c>
      <c r="G71" s="15" t="str">
        <f aca="false">IF(ISNUMBER(E71),NORMSDIST(E71),"")</f>
        <v/>
      </c>
      <c r="H71" s="12" t="str">
        <f aca="false">IF(ISNUMBER(E71),IF(E71&gt;=1,"Above +1σ",IF(E71&gt;=0,"Mean to +1σ",IF(E71&gt;=-1,"−1σ to mean",IF(E71&gt;=-2,"−2σ to −1σ","Below −2σ")))),"")</f>
        <v/>
      </c>
    </row>
    <row r="72" customFormat="false" ht="14.25" hidden="false" customHeight="false" outlineLevel="0" collapsed="false">
      <c r="A72" s="17" t="n">
        <f aca="false">'Quiz 2 Grades'!A9</f>
        <v>3</v>
      </c>
      <c r="B72" s="22" t="str">
        <f aca="false">'Quiz 2 Grades'!B9</f>
        <v>Ashton Adams</v>
      </c>
      <c r="C72" s="17" t="str">
        <f aca="false">IF(ISNUMBER('Quiz 2 Grades'!M9),'Quiz 2 Grades'!M9,'Quiz 2 Grades'!Q9)</f>
        <v>Missing</v>
      </c>
      <c r="D72" s="15" t="str">
        <f aca="false">IF(ISNUMBER(C72),C72/MaxScore,"")</f>
        <v/>
      </c>
      <c r="E72" s="85" t="str">
        <f aca="false">IFERROR(IF(ISNUMBER(C72),(C72-MeanScore)/SDScore,""),"")</f>
        <v/>
      </c>
      <c r="F72" s="15" t="str">
        <f aca="false">IFERROR(IF(ISNUMBER(C72),PERCENTRANK(Totals,C72),""),"")</f>
        <v/>
      </c>
      <c r="G72" s="15" t="str">
        <f aca="false">IF(ISNUMBER(E72),NORMSDIST(E72),"")</f>
        <v/>
      </c>
      <c r="H72" s="12" t="str">
        <f aca="false">IF(ISNUMBER(E72),IF(E72&gt;=1,"Above +1σ",IF(E72&gt;=0,"Mean to +1σ",IF(E72&gt;=-1,"−1σ to mean",IF(E72&gt;=-2,"−2σ to −1σ","Below −2σ")))),"")</f>
        <v/>
      </c>
    </row>
    <row r="73" customFormat="false" ht="14.25" hidden="false" customHeight="false" outlineLevel="0" collapsed="false">
      <c r="A73" s="17" t="n">
        <f aca="false">'Quiz 2 Grades'!A10</f>
        <v>4</v>
      </c>
      <c r="B73" s="22" t="str">
        <f aca="false">'Quiz 2 Grades'!B10</f>
        <v>Hayden Albert</v>
      </c>
      <c r="C73" s="17" t="str">
        <f aca="false">IF(ISNUMBER('Quiz 2 Grades'!M10),'Quiz 2 Grades'!M10,'Quiz 2 Grades'!Q10)</f>
        <v>Missing</v>
      </c>
      <c r="D73" s="15" t="str">
        <f aca="false">IF(ISNUMBER(C73),C73/MaxScore,"")</f>
        <v/>
      </c>
      <c r="E73" s="85" t="str">
        <f aca="false">IFERROR(IF(ISNUMBER(C73),(C73-MeanScore)/SDScore,""),"")</f>
        <v/>
      </c>
      <c r="F73" s="15" t="str">
        <f aca="false">IFERROR(IF(ISNUMBER(C73),PERCENTRANK(Totals,C73),""),"")</f>
        <v/>
      </c>
      <c r="G73" s="15" t="str">
        <f aca="false">IF(ISNUMBER(E73),NORMSDIST(E73),"")</f>
        <v/>
      </c>
      <c r="H73" s="12" t="str">
        <f aca="false">IF(ISNUMBER(E73),IF(E73&gt;=1,"Above +1σ",IF(E73&gt;=0,"Mean to +1σ",IF(E73&gt;=-1,"−1σ to mean",IF(E73&gt;=-2,"−2σ to −1σ","Below −2σ")))),"")</f>
        <v/>
      </c>
    </row>
    <row r="74" customFormat="false" ht="14.25" hidden="false" customHeight="false" outlineLevel="0" collapsed="false">
      <c r="A74" s="17" t="n">
        <f aca="false">'Quiz 2 Grades'!A11</f>
        <v>5</v>
      </c>
      <c r="B74" s="22" t="str">
        <f aca="false">'Quiz 2 Grades'!B11</f>
        <v>Lani Allen</v>
      </c>
      <c r="C74" s="17" t="str">
        <f aca="false">IF(ISNUMBER('Quiz 2 Grades'!M11),'Quiz 2 Grades'!M11,'Quiz 2 Grades'!Q11)</f>
        <v>Missing</v>
      </c>
      <c r="D74" s="15" t="str">
        <f aca="false">IF(ISNUMBER(C74),C74/MaxScore,"")</f>
        <v/>
      </c>
      <c r="E74" s="85" t="str">
        <f aca="false">IFERROR(IF(ISNUMBER(C74),(C74-MeanScore)/SDScore,""),"")</f>
        <v/>
      </c>
      <c r="F74" s="15" t="str">
        <f aca="false">IFERROR(IF(ISNUMBER(C74),PERCENTRANK(Totals,C74),""),"")</f>
        <v/>
      </c>
      <c r="G74" s="15" t="str">
        <f aca="false">IF(ISNUMBER(E74),NORMSDIST(E74),"")</f>
        <v/>
      </c>
      <c r="H74" s="12" t="str">
        <f aca="false">IF(ISNUMBER(E74),IF(E74&gt;=1,"Above +1σ",IF(E74&gt;=0,"Mean to +1σ",IF(E74&gt;=-1,"−1σ to mean",IF(E74&gt;=-2,"−2σ to −1σ","Below −2σ")))),"")</f>
        <v/>
      </c>
    </row>
    <row r="75" customFormat="false" ht="14.25" hidden="false" customHeight="false" outlineLevel="0" collapsed="false">
      <c r="A75" s="17" t="n">
        <f aca="false">'Quiz 2 Grades'!A12</f>
        <v>6</v>
      </c>
      <c r="B75" s="22" t="str">
        <f aca="false">'Quiz 2 Grades'!B12</f>
        <v>John David Andrade</v>
      </c>
      <c r="C75" s="17" t="str">
        <f aca="false">IF(ISNUMBER('Quiz 2 Grades'!M12),'Quiz 2 Grades'!M12,'Quiz 2 Grades'!Q12)</f>
        <v>Missing</v>
      </c>
      <c r="D75" s="15" t="str">
        <f aca="false">IF(ISNUMBER(C75),C75/MaxScore,"")</f>
        <v/>
      </c>
      <c r="E75" s="85" t="str">
        <f aca="false">IFERROR(IF(ISNUMBER(C75),(C75-MeanScore)/SDScore,""),"")</f>
        <v/>
      </c>
      <c r="F75" s="15" t="str">
        <f aca="false">IFERROR(IF(ISNUMBER(C75),PERCENTRANK(Totals,C75),""),"")</f>
        <v/>
      </c>
      <c r="G75" s="15" t="str">
        <f aca="false">IF(ISNUMBER(E75),NORMSDIST(E75),"")</f>
        <v/>
      </c>
      <c r="H75" s="12" t="str">
        <f aca="false">IF(ISNUMBER(E75),IF(E75&gt;=1,"Above +1σ",IF(E75&gt;=0,"Mean to +1σ",IF(E75&gt;=-1,"−1σ to mean",IF(E75&gt;=-2,"−2σ to −1σ","Below −2σ")))),"")</f>
        <v/>
      </c>
    </row>
    <row r="76" customFormat="false" ht="14.25" hidden="false" customHeight="false" outlineLevel="0" collapsed="false">
      <c r="A76" s="17" t="n">
        <f aca="false">'Quiz 2 Grades'!A13</f>
        <v>7</v>
      </c>
      <c r="B76" s="22" t="str">
        <f aca="false">'Quiz 2 Grades'!B13</f>
        <v>Landon Atkins</v>
      </c>
      <c r="C76" s="17" t="str">
        <f aca="false">IF(ISNUMBER('Quiz 2 Grades'!M13),'Quiz 2 Grades'!M13,'Quiz 2 Grades'!Q13)</f>
        <v>Missing</v>
      </c>
      <c r="D76" s="15" t="str">
        <f aca="false">IF(ISNUMBER(C76),C76/MaxScore,"")</f>
        <v/>
      </c>
      <c r="E76" s="85" t="str">
        <f aca="false">IFERROR(IF(ISNUMBER(C76),(C76-MeanScore)/SDScore,""),"")</f>
        <v/>
      </c>
      <c r="F76" s="15" t="str">
        <f aca="false">IFERROR(IF(ISNUMBER(C76),PERCENTRANK(Totals,C76),""),"")</f>
        <v/>
      </c>
      <c r="G76" s="15" t="str">
        <f aca="false">IF(ISNUMBER(E76),NORMSDIST(E76),"")</f>
        <v/>
      </c>
      <c r="H76" s="12" t="str">
        <f aca="false">IF(ISNUMBER(E76),IF(E76&gt;=1,"Above +1σ",IF(E76&gt;=0,"Mean to +1σ",IF(E76&gt;=-1,"−1σ to mean",IF(E76&gt;=-2,"−2σ to −1σ","Below −2σ")))),"")</f>
        <v/>
      </c>
    </row>
    <row r="77" customFormat="false" ht="14.25" hidden="false" customHeight="false" outlineLevel="0" collapsed="false">
      <c r="A77" s="17" t="n">
        <f aca="false">'Quiz 2 Grades'!A14</f>
        <v>8</v>
      </c>
      <c r="B77" s="22" t="str">
        <f aca="false">'Quiz 2 Grades'!B14</f>
        <v>Ryan Borkland</v>
      </c>
      <c r="C77" s="17" t="str">
        <f aca="false">IF(ISNUMBER('Quiz 2 Grades'!M14),'Quiz 2 Grades'!M14,'Quiz 2 Grades'!Q14)</f>
        <v>Missing</v>
      </c>
      <c r="D77" s="15" t="str">
        <f aca="false">IF(ISNUMBER(C77),C77/MaxScore,"")</f>
        <v/>
      </c>
      <c r="E77" s="85" t="str">
        <f aca="false">IFERROR(IF(ISNUMBER(C77),(C77-MeanScore)/SDScore,""),"")</f>
        <v/>
      </c>
      <c r="F77" s="15" t="str">
        <f aca="false">IFERROR(IF(ISNUMBER(C77),PERCENTRANK(Totals,C77),""),"")</f>
        <v/>
      </c>
      <c r="G77" s="15" t="str">
        <f aca="false">IF(ISNUMBER(E77),NORMSDIST(E77),"")</f>
        <v/>
      </c>
      <c r="H77" s="12" t="str">
        <f aca="false">IF(ISNUMBER(E77),IF(E77&gt;=1,"Above +1σ",IF(E77&gt;=0,"Mean to +1σ",IF(E77&gt;=-1,"−1σ to mean",IF(E77&gt;=-2,"−2σ to −1σ","Below −2σ")))),"")</f>
        <v/>
      </c>
    </row>
    <row r="78" customFormat="false" ht="14.25" hidden="false" customHeight="false" outlineLevel="0" collapsed="false">
      <c r="A78" s="17" t="n">
        <f aca="false">'Quiz 2 Grades'!A15</f>
        <v>9</v>
      </c>
      <c r="B78" s="22" t="str">
        <f aca="false">'Quiz 2 Grades'!B15</f>
        <v>Jermy Brown</v>
      </c>
      <c r="C78" s="17" t="str">
        <f aca="false">IF(ISNUMBER('Quiz 2 Grades'!M15),'Quiz 2 Grades'!M15,'Quiz 2 Grades'!Q15)</f>
        <v>Missing</v>
      </c>
      <c r="D78" s="15" t="str">
        <f aca="false">IF(ISNUMBER(C78),C78/MaxScore,"")</f>
        <v/>
      </c>
      <c r="E78" s="85" t="str">
        <f aca="false">IFERROR(IF(ISNUMBER(C78),(C78-MeanScore)/SDScore,""),"")</f>
        <v/>
      </c>
      <c r="F78" s="15" t="str">
        <f aca="false">IFERROR(IF(ISNUMBER(C78),PERCENTRANK(Totals,C78),""),"")</f>
        <v/>
      </c>
      <c r="G78" s="15" t="str">
        <f aca="false">IF(ISNUMBER(E78),NORMSDIST(E78),"")</f>
        <v/>
      </c>
      <c r="H78" s="12" t="str">
        <f aca="false">IF(ISNUMBER(E78),IF(E78&gt;=1,"Above +1σ",IF(E78&gt;=0,"Mean to +1σ",IF(E78&gt;=-1,"−1σ to mean",IF(E78&gt;=-2,"−2σ to −1σ","Below −2σ")))),"")</f>
        <v/>
      </c>
    </row>
    <row r="79" customFormat="false" ht="14.25" hidden="false" customHeight="false" outlineLevel="0" collapsed="false">
      <c r="A79" s="17" t="n">
        <f aca="false">'Quiz 2 Grades'!A16</f>
        <v>10</v>
      </c>
      <c r="B79" s="22" t="str">
        <f aca="false">'Quiz 2 Grades'!B16</f>
        <v>Eric Calderon</v>
      </c>
      <c r="C79" s="17" t="str">
        <f aca="false">IF(ISNUMBER('Quiz 2 Grades'!M16),'Quiz 2 Grades'!M16,'Quiz 2 Grades'!Q16)</f>
        <v>Missing</v>
      </c>
      <c r="D79" s="15" t="str">
        <f aca="false">IF(ISNUMBER(C79),C79/MaxScore,"")</f>
        <v/>
      </c>
      <c r="E79" s="85" t="str">
        <f aca="false">IFERROR(IF(ISNUMBER(C79),(C79-MeanScore)/SDScore,""),"")</f>
        <v/>
      </c>
      <c r="F79" s="15" t="str">
        <f aca="false">IFERROR(IF(ISNUMBER(C79),PERCENTRANK(Totals,C79),""),"")</f>
        <v/>
      </c>
      <c r="G79" s="15" t="str">
        <f aca="false">IF(ISNUMBER(E79),NORMSDIST(E79),"")</f>
        <v/>
      </c>
      <c r="H79" s="12" t="str">
        <f aca="false">IF(ISNUMBER(E79),IF(E79&gt;=1,"Above +1σ",IF(E79&gt;=0,"Mean to +1σ",IF(E79&gt;=-1,"−1σ to mean",IF(E79&gt;=-2,"−2σ to −1σ","Below −2σ")))),"")</f>
        <v/>
      </c>
    </row>
    <row r="80" customFormat="false" ht="14.25" hidden="false" customHeight="false" outlineLevel="0" collapsed="false">
      <c r="A80" s="17" t="n">
        <f aca="false">'Quiz 2 Grades'!A17</f>
        <v>11</v>
      </c>
      <c r="B80" s="22" t="str">
        <f aca="false">'Quiz 2 Grades'!B17</f>
        <v>Angel Camarillo</v>
      </c>
      <c r="C80" s="17" t="str">
        <f aca="false">IF(ISNUMBER('Quiz 2 Grades'!M17),'Quiz 2 Grades'!M17,'Quiz 2 Grades'!Q17)</f>
        <v>Missing</v>
      </c>
      <c r="D80" s="15" t="str">
        <f aca="false">IF(ISNUMBER(C80),C80/MaxScore,"")</f>
        <v/>
      </c>
      <c r="E80" s="85" t="str">
        <f aca="false">IFERROR(IF(ISNUMBER(C80),(C80-MeanScore)/SDScore,""),"")</f>
        <v/>
      </c>
      <c r="F80" s="15" t="str">
        <f aca="false">IFERROR(IF(ISNUMBER(C80),PERCENTRANK(Totals,C80),""),"")</f>
        <v/>
      </c>
      <c r="G80" s="15" t="str">
        <f aca="false">IF(ISNUMBER(E80),NORMSDIST(E80),"")</f>
        <v/>
      </c>
      <c r="H80" s="12" t="str">
        <f aca="false">IF(ISNUMBER(E80),IF(E80&gt;=1,"Above +1σ",IF(E80&gt;=0,"Mean to +1σ",IF(E80&gt;=-1,"−1σ to mean",IF(E80&gt;=-2,"−2σ to −1σ","Below −2σ")))),"")</f>
        <v/>
      </c>
    </row>
    <row r="81" customFormat="false" ht="14.25" hidden="false" customHeight="false" outlineLevel="0" collapsed="false">
      <c r="A81" s="17" t="n">
        <f aca="false">'Quiz 2 Grades'!A18</f>
        <v>12</v>
      </c>
      <c r="B81" s="22" t="str">
        <f aca="false">'Quiz 2 Grades'!B18</f>
        <v>Gavin Cappel</v>
      </c>
      <c r="C81" s="17" t="str">
        <f aca="false">IF(ISNUMBER('Quiz 2 Grades'!M18),'Quiz 2 Grades'!M18,'Quiz 2 Grades'!Q18)</f>
        <v>Missing</v>
      </c>
      <c r="D81" s="15" t="str">
        <f aca="false">IF(ISNUMBER(C81),C81/MaxScore,"")</f>
        <v/>
      </c>
      <c r="E81" s="85" t="str">
        <f aca="false">IFERROR(IF(ISNUMBER(C81),(C81-MeanScore)/SDScore,""),"")</f>
        <v/>
      </c>
      <c r="F81" s="15" t="str">
        <f aca="false">IFERROR(IF(ISNUMBER(C81),PERCENTRANK(Totals,C81),""),"")</f>
        <v/>
      </c>
      <c r="G81" s="15" t="str">
        <f aca="false">IF(ISNUMBER(E81),NORMSDIST(E81),"")</f>
        <v/>
      </c>
      <c r="H81" s="12" t="str">
        <f aca="false">IF(ISNUMBER(E81),IF(E81&gt;=1,"Above +1σ",IF(E81&gt;=0,"Mean to +1σ",IF(E81&gt;=-1,"−1σ to mean",IF(E81&gt;=-2,"−2σ to −1σ","Below −2σ")))),"")</f>
        <v/>
      </c>
    </row>
    <row r="82" customFormat="false" ht="14.25" hidden="false" customHeight="false" outlineLevel="0" collapsed="false">
      <c r="A82" s="17" t="n">
        <f aca="false">'Quiz 2 Grades'!A19</f>
        <v>13</v>
      </c>
      <c r="B82" s="22" t="str">
        <f aca="false">'Quiz 2 Grades'!B19</f>
        <v>Venditha Chelikani</v>
      </c>
      <c r="C82" s="17" t="str">
        <f aca="false">IF(ISNUMBER('Quiz 2 Grades'!M19),'Quiz 2 Grades'!M19,'Quiz 2 Grades'!Q19)</f>
        <v>Missing</v>
      </c>
      <c r="D82" s="15" t="str">
        <f aca="false">IF(ISNUMBER(C82),C82/MaxScore,"")</f>
        <v/>
      </c>
      <c r="E82" s="85" t="str">
        <f aca="false">IFERROR(IF(ISNUMBER(C82),(C82-MeanScore)/SDScore,""),"")</f>
        <v/>
      </c>
      <c r="F82" s="15" t="str">
        <f aca="false">IFERROR(IF(ISNUMBER(C82),PERCENTRANK(Totals,C82),""),"")</f>
        <v/>
      </c>
      <c r="G82" s="15" t="str">
        <f aca="false">IF(ISNUMBER(E82),NORMSDIST(E82),"")</f>
        <v/>
      </c>
      <c r="H82" s="12" t="str">
        <f aca="false">IF(ISNUMBER(E82),IF(E82&gt;=1,"Above +1σ",IF(E82&gt;=0,"Mean to +1σ",IF(E82&gt;=-1,"−1σ to mean",IF(E82&gt;=-2,"−2σ to −1σ","Below −2σ")))),"")</f>
        <v/>
      </c>
    </row>
    <row r="83" customFormat="false" ht="14.25" hidden="false" customHeight="false" outlineLevel="0" collapsed="false">
      <c r="A83" s="17" t="n">
        <f aca="false">'Quiz 2 Grades'!A20</f>
        <v>14</v>
      </c>
      <c r="B83" s="22" t="str">
        <f aca="false">'Quiz 2 Grades'!B20</f>
        <v>Brisa Colunga</v>
      </c>
      <c r="C83" s="17" t="str">
        <f aca="false">IF(ISNUMBER('Quiz 2 Grades'!M20),'Quiz 2 Grades'!M20,'Quiz 2 Grades'!Q20)</f>
        <v>Missing</v>
      </c>
      <c r="D83" s="15" t="str">
        <f aca="false">IF(ISNUMBER(C83),C83/MaxScore,"")</f>
        <v/>
      </c>
      <c r="E83" s="85" t="str">
        <f aca="false">IFERROR(IF(ISNUMBER(C83),(C83-MeanScore)/SDScore,""),"")</f>
        <v/>
      </c>
      <c r="F83" s="15" t="str">
        <f aca="false">IFERROR(IF(ISNUMBER(C83),PERCENTRANK(Totals,C83),""),"")</f>
        <v/>
      </c>
      <c r="G83" s="15" t="str">
        <f aca="false">IF(ISNUMBER(E83),NORMSDIST(E83),"")</f>
        <v/>
      </c>
      <c r="H83" s="12" t="str">
        <f aca="false">IF(ISNUMBER(E83),IF(E83&gt;=1,"Above +1σ",IF(E83&gt;=0,"Mean to +1σ",IF(E83&gt;=-1,"−1σ to mean",IF(E83&gt;=-2,"−2σ to −1σ","Below −2σ")))),"")</f>
        <v/>
      </c>
    </row>
    <row r="84" customFormat="false" ht="14.25" hidden="false" customHeight="false" outlineLevel="0" collapsed="false">
      <c r="A84" s="17" t="n">
        <f aca="false">'Quiz 2 Grades'!A21</f>
        <v>15</v>
      </c>
      <c r="B84" s="22" t="str">
        <f aca="false">'Quiz 2 Grades'!B21</f>
        <v>Axel Cruz-Hernandez</v>
      </c>
      <c r="C84" s="17" t="str">
        <f aca="false">IF(ISNUMBER('Quiz 2 Grades'!M21),'Quiz 2 Grades'!M21,'Quiz 2 Grades'!Q21)</f>
        <v>Missing</v>
      </c>
      <c r="D84" s="15" t="str">
        <f aca="false">IF(ISNUMBER(C84),C84/MaxScore,"")</f>
        <v/>
      </c>
      <c r="E84" s="85" t="str">
        <f aca="false">IFERROR(IF(ISNUMBER(C84),(C84-MeanScore)/SDScore,""),"")</f>
        <v/>
      </c>
      <c r="F84" s="15" t="str">
        <f aca="false">IFERROR(IF(ISNUMBER(C84),PERCENTRANK(Totals,C84),""),"")</f>
        <v/>
      </c>
      <c r="G84" s="15" t="str">
        <f aca="false">IF(ISNUMBER(E84),NORMSDIST(E84),"")</f>
        <v/>
      </c>
      <c r="H84" s="12" t="str">
        <f aca="false">IF(ISNUMBER(E84),IF(E84&gt;=1,"Above +1σ",IF(E84&gt;=0,"Mean to +1σ",IF(E84&gt;=-1,"−1σ to mean",IF(E84&gt;=-2,"−2σ to −1σ","Below −2σ")))),"")</f>
        <v/>
      </c>
    </row>
    <row r="85" customFormat="false" ht="14.25" hidden="false" customHeight="false" outlineLevel="0" collapsed="false">
      <c r="A85" s="17" t="n">
        <f aca="false">'Quiz 2 Grades'!A22</f>
        <v>16</v>
      </c>
      <c r="B85" s="22" t="str">
        <f aca="false">'Quiz 2 Grades'!B22</f>
        <v>Devin Cuellar</v>
      </c>
      <c r="C85" s="17" t="str">
        <f aca="false">IF(ISNUMBER('Quiz 2 Grades'!M22),'Quiz 2 Grades'!M22,'Quiz 2 Grades'!Q22)</f>
        <v>Missing</v>
      </c>
      <c r="D85" s="15" t="str">
        <f aca="false">IF(ISNUMBER(C85),C85/MaxScore,"")</f>
        <v/>
      </c>
      <c r="E85" s="85" t="str">
        <f aca="false">IFERROR(IF(ISNUMBER(C85),(C85-MeanScore)/SDScore,""),"")</f>
        <v/>
      </c>
      <c r="F85" s="15" t="str">
        <f aca="false">IFERROR(IF(ISNUMBER(C85),PERCENTRANK(Totals,C85),""),"")</f>
        <v/>
      </c>
      <c r="G85" s="15" t="str">
        <f aca="false">IF(ISNUMBER(E85),NORMSDIST(E85),"")</f>
        <v/>
      </c>
      <c r="H85" s="12" t="str">
        <f aca="false">IF(ISNUMBER(E85),IF(E85&gt;=1,"Above +1σ",IF(E85&gt;=0,"Mean to +1σ",IF(E85&gt;=-1,"−1σ to mean",IF(E85&gt;=-2,"−2σ to −1σ","Below −2σ")))),"")</f>
        <v/>
      </c>
    </row>
    <row r="86" customFormat="false" ht="14.25" hidden="false" customHeight="false" outlineLevel="0" collapsed="false">
      <c r="A86" s="17" t="n">
        <f aca="false">'Quiz 2 Grades'!A23</f>
        <v>17</v>
      </c>
      <c r="B86" s="22" t="str">
        <f aca="false">'Quiz 2 Grades'!B23</f>
        <v>Mia Cuellar</v>
      </c>
      <c r="C86" s="17" t="str">
        <f aca="false">IF(ISNUMBER('Quiz 2 Grades'!M23),'Quiz 2 Grades'!M23,'Quiz 2 Grades'!Q23)</f>
        <v>Missing</v>
      </c>
      <c r="D86" s="15" t="str">
        <f aca="false">IF(ISNUMBER(C86),C86/MaxScore,"")</f>
        <v/>
      </c>
      <c r="E86" s="85" t="str">
        <f aca="false">IFERROR(IF(ISNUMBER(C86),(C86-MeanScore)/SDScore,""),"")</f>
        <v/>
      </c>
      <c r="F86" s="15" t="str">
        <f aca="false">IFERROR(IF(ISNUMBER(C86),PERCENTRANK(Totals,C86),""),"")</f>
        <v/>
      </c>
      <c r="G86" s="15" t="str">
        <f aca="false">IF(ISNUMBER(E86),NORMSDIST(E86),"")</f>
        <v/>
      </c>
      <c r="H86" s="12" t="str">
        <f aca="false">IF(ISNUMBER(E86),IF(E86&gt;=1,"Above +1σ",IF(E86&gt;=0,"Mean to +1σ",IF(E86&gt;=-1,"−1σ to mean",IF(E86&gt;=-2,"−2σ to −1σ","Below −2σ")))),"")</f>
        <v/>
      </c>
    </row>
    <row r="87" customFormat="false" ht="14.25" hidden="false" customHeight="false" outlineLevel="0" collapsed="false">
      <c r="A87" s="17" t="n">
        <f aca="false">'Quiz 2 Grades'!A24</f>
        <v>18</v>
      </c>
      <c r="B87" s="22" t="str">
        <f aca="false">'Quiz 2 Grades'!B24</f>
        <v>Trevin Cutrer</v>
      </c>
      <c r="C87" s="17" t="str">
        <f aca="false">IF(ISNUMBER('Quiz 2 Grades'!M24),'Quiz 2 Grades'!M24,'Quiz 2 Grades'!Q24)</f>
        <v>Missing</v>
      </c>
      <c r="D87" s="15" t="str">
        <f aca="false">IF(ISNUMBER(C87),C87/MaxScore,"")</f>
        <v/>
      </c>
      <c r="E87" s="85" t="str">
        <f aca="false">IFERROR(IF(ISNUMBER(C87),(C87-MeanScore)/SDScore,""),"")</f>
        <v/>
      </c>
      <c r="F87" s="15" t="str">
        <f aca="false">IFERROR(IF(ISNUMBER(C87),PERCENTRANK(Totals,C87),""),"")</f>
        <v/>
      </c>
      <c r="G87" s="15" t="str">
        <f aca="false">IF(ISNUMBER(E87),NORMSDIST(E87),"")</f>
        <v/>
      </c>
      <c r="H87" s="12" t="str">
        <f aca="false">IF(ISNUMBER(E87),IF(E87&gt;=1,"Above +1σ",IF(E87&gt;=0,"Mean to +1σ",IF(E87&gt;=-1,"−1σ to mean",IF(E87&gt;=-2,"−2σ to −1σ","Below −2σ")))),"")</f>
        <v/>
      </c>
    </row>
    <row r="88" customFormat="false" ht="14.25" hidden="false" customHeight="false" outlineLevel="0" collapsed="false">
      <c r="A88" s="17" t="n">
        <f aca="false">'Quiz 2 Grades'!A25</f>
        <v>19</v>
      </c>
      <c r="B88" s="22" t="str">
        <f aca="false">'Quiz 2 Grades'!B25</f>
        <v>Elizabeth Dillah</v>
      </c>
      <c r="C88" s="17" t="str">
        <f aca="false">IF(ISNUMBER('Quiz 2 Grades'!M25),'Quiz 2 Grades'!M25,'Quiz 2 Grades'!Q25)</f>
        <v>Missing</v>
      </c>
      <c r="D88" s="15" t="str">
        <f aca="false">IF(ISNUMBER(C88),C88/MaxScore,"")</f>
        <v/>
      </c>
      <c r="E88" s="85" t="str">
        <f aca="false">IFERROR(IF(ISNUMBER(C88),(C88-MeanScore)/SDScore,""),"")</f>
        <v/>
      </c>
      <c r="F88" s="15" t="str">
        <f aca="false">IFERROR(IF(ISNUMBER(C88),PERCENTRANK(Totals,C88),""),"")</f>
        <v/>
      </c>
      <c r="G88" s="15" t="str">
        <f aca="false">IF(ISNUMBER(E88),NORMSDIST(E88),"")</f>
        <v/>
      </c>
      <c r="H88" s="12" t="str">
        <f aca="false">IF(ISNUMBER(E88),IF(E88&gt;=1,"Above +1σ",IF(E88&gt;=0,"Mean to +1σ",IF(E88&gt;=-1,"−1σ to mean",IF(E88&gt;=-2,"−2σ to −1σ","Below −2σ")))),"")</f>
        <v/>
      </c>
    </row>
    <row r="89" customFormat="false" ht="14.25" hidden="false" customHeight="false" outlineLevel="0" collapsed="false">
      <c r="A89" s="17" t="n">
        <f aca="false">'Quiz 2 Grades'!A26</f>
        <v>20</v>
      </c>
      <c r="B89" s="22" t="str">
        <f aca="false">'Quiz 2 Grades'!B26</f>
        <v>Jack Elsas</v>
      </c>
      <c r="C89" s="17" t="str">
        <f aca="false">IF(ISNUMBER('Quiz 2 Grades'!M26),'Quiz 2 Grades'!M26,'Quiz 2 Grades'!Q26)</f>
        <v>Missing</v>
      </c>
      <c r="D89" s="15" t="str">
        <f aca="false">IF(ISNUMBER(C89),C89/MaxScore,"")</f>
        <v/>
      </c>
      <c r="E89" s="85" t="str">
        <f aca="false">IFERROR(IF(ISNUMBER(C89),(C89-MeanScore)/SDScore,""),"")</f>
        <v/>
      </c>
      <c r="F89" s="15" t="str">
        <f aca="false">IFERROR(IF(ISNUMBER(C89),PERCENTRANK(Totals,C89),""),"")</f>
        <v/>
      </c>
      <c r="G89" s="15" t="str">
        <f aca="false">IF(ISNUMBER(E89),NORMSDIST(E89),"")</f>
        <v/>
      </c>
      <c r="H89" s="12" t="str">
        <f aca="false">IF(ISNUMBER(E89),IF(E89&gt;=1,"Above +1σ",IF(E89&gt;=0,"Mean to +1σ",IF(E89&gt;=-1,"−1σ to mean",IF(E89&gt;=-2,"−2σ to −1σ","Below −2σ")))),"")</f>
        <v/>
      </c>
    </row>
    <row r="90" customFormat="false" ht="14.25" hidden="false" customHeight="false" outlineLevel="0" collapsed="false">
      <c r="A90" s="17" t="n">
        <f aca="false">'Quiz 2 Grades'!A27</f>
        <v>21</v>
      </c>
      <c r="B90" s="22" t="str">
        <f aca="false">'Quiz 2 Grades'!B27</f>
        <v>Connor Felux</v>
      </c>
      <c r="C90" s="17" t="str">
        <f aca="false">IF(ISNUMBER('Quiz 2 Grades'!M27),'Quiz 2 Grades'!M27,'Quiz 2 Grades'!Q27)</f>
        <v>Missing</v>
      </c>
      <c r="D90" s="15" t="str">
        <f aca="false">IF(ISNUMBER(C90),C90/MaxScore,"")</f>
        <v/>
      </c>
      <c r="E90" s="85" t="str">
        <f aca="false">IFERROR(IF(ISNUMBER(C90),(C90-MeanScore)/SDScore,""),"")</f>
        <v/>
      </c>
      <c r="F90" s="15" t="str">
        <f aca="false">IFERROR(IF(ISNUMBER(C90),PERCENTRANK(Totals,C90),""),"")</f>
        <v/>
      </c>
      <c r="G90" s="15" t="str">
        <f aca="false">IF(ISNUMBER(E90),NORMSDIST(E90),"")</f>
        <v/>
      </c>
      <c r="H90" s="12" t="str">
        <f aca="false">IF(ISNUMBER(E90),IF(E90&gt;=1,"Above +1σ",IF(E90&gt;=0,"Mean to +1σ",IF(E90&gt;=-1,"−1σ to mean",IF(E90&gt;=-2,"−2σ to −1σ","Below −2σ")))),"")</f>
        <v/>
      </c>
    </row>
    <row r="91" customFormat="false" ht="14.25" hidden="false" customHeight="false" outlineLevel="0" collapsed="false">
      <c r="A91" s="17" t="n">
        <f aca="false">'Quiz 2 Grades'!A28</f>
        <v>22</v>
      </c>
      <c r="B91" s="22" t="str">
        <f aca="false">'Quiz 2 Grades'!B28</f>
        <v>Hunter Gates</v>
      </c>
      <c r="C91" s="17" t="str">
        <f aca="false">IF(ISNUMBER('Quiz 2 Grades'!M28),'Quiz 2 Grades'!M28,'Quiz 2 Grades'!Q28)</f>
        <v>Missing</v>
      </c>
      <c r="D91" s="15" t="str">
        <f aca="false">IF(ISNUMBER(C91),C91/MaxScore,"")</f>
        <v/>
      </c>
      <c r="E91" s="85" t="str">
        <f aca="false">IFERROR(IF(ISNUMBER(C91),(C91-MeanScore)/SDScore,""),"")</f>
        <v/>
      </c>
      <c r="F91" s="15" t="str">
        <f aca="false">IFERROR(IF(ISNUMBER(C91),PERCENTRANK(Totals,C91),""),"")</f>
        <v/>
      </c>
      <c r="G91" s="15" t="str">
        <f aca="false">IF(ISNUMBER(E91),NORMSDIST(E91),"")</f>
        <v/>
      </c>
      <c r="H91" s="12" t="str">
        <f aca="false">IF(ISNUMBER(E91),IF(E91&gt;=1,"Above +1σ",IF(E91&gt;=0,"Mean to +1σ",IF(E91&gt;=-1,"−1σ to mean",IF(E91&gt;=-2,"−2σ to −1σ","Below −2σ")))),"")</f>
        <v/>
      </c>
    </row>
    <row r="92" customFormat="false" ht="14.25" hidden="false" customHeight="false" outlineLevel="0" collapsed="false">
      <c r="A92" s="17" t="n">
        <f aca="false">'Quiz 2 Grades'!A29</f>
        <v>23</v>
      </c>
      <c r="B92" s="22" t="str">
        <f aca="false">'Quiz 2 Grades'!B29</f>
        <v>Brinda Gayen</v>
      </c>
      <c r="C92" s="17" t="str">
        <f aca="false">IF(ISNUMBER('Quiz 2 Grades'!M29),'Quiz 2 Grades'!M29,'Quiz 2 Grades'!Q29)</f>
        <v>Missing</v>
      </c>
      <c r="D92" s="15" t="str">
        <f aca="false">IF(ISNUMBER(C92),C92/MaxScore,"")</f>
        <v/>
      </c>
      <c r="E92" s="85" t="str">
        <f aca="false">IFERROR(IF(ISNUMBER(C92),(C92-MeanScore)/SDScore,""),"")</f>
        <v/>
      </c>
      <c r="F92" s="15" t="str">
        <f aca="false">IFERROR(IF(ISNUMBER(C92),PERCENTRANK(Totals,C92),""),"")</f>
        <v/>
      </c>
      <c r="G92" s="15" t="str">
        <f aca="false">IF(ISNUMBER(E92),NORMSDIST(E92),"")</f>
        <v/>
      </c>
      <c r="H92" s="12" t="str">
        <f aca="false">IF(ISNUMBER(E92),IF(E92&gt;=1,"Above +1σ",IF(E92&gt;=0,"Mean to +1σ",IF(E92&gt;=-1,"−1σ to mean",IF(E92&gt;=-2,"−2σ to −1σ","Below −2σ")))),"")</f>
        <v/>
      </c>
    </row>
    <row r="93" customFormat="false" ht="14.25" hidden="false" customHeight="false" outlineLevel="0" collapsed="false">
      <c r="A93" s="17" t="n">
        <f aca="false">'Quiz 2 Grades'!A30</f>
        <v>24</v>
      </c>
      <c r="B93" s="22" t="str">
        <f aca="false">'Quiz 2 Grades'!B30</f>
        <v>Victoria Gaytan</v>
      </c>
      <c r="C93" s="17" t="str">
        <f aca="false">IF(ISNUMBER('Quiz 2 Grades'!M30),'Quiz 2 Grades'!M30,'Quiz 2 Grades'!Q30)</f>
        <v>Missing</v>
      </c>
      <c r="D93" s="15" t="str">
        <f aca="false">IF(ISNUMBER(C93),C93/MaxScore,"")</f>
        <v/>
      </c>
      <c r="E93" s="85" t="str">
        <f aca="false">IFERROR(IF(ISNUMBER(C93),(C93-MeanScore)/SDScore,""),"")</f>
        <v/>
      </c>
      <c r="F93" s="15" t="str">
        <f aca="false">IFERROR(IF(ISNUMBER(C93),PERCENTRANK(Totals,C93),""),"")</f>
        <v/>
      </c>
      <c r="G93" s="15" t="str">
        <f aca="false">IF(ISNUMBER(E93),NORMSDIST(E93),"")</f>
        <v/>
      </c>
      <c r="H93" s="12" t="str">
        <f aca="false">IF(ISNUMBER(E93),IF(E93&gt;=1,"Above +1σ",IF(E93&gt;=0,"Mean to +1σ",IF(E93&gt;=-1,"−1σ to mean",IF(E93&gt;=-2,"−2σ to −1σ","Below −2σ")))),"")</f>
        <v/>
      </c>
    </row>
    <row r="94" customFormat="false" ht="14.25" hidden="false" customHeight="false" outlineLevel="0" collapsed="false">
      <c r="A94" s="17" t="n">
        <f aca="false">'Quiz 2 Grades'!A31</f>
        <v>25</v>
      </c>
      <c r="B94" s="22" t="str">
        <f aca="false">'Quiz 2 Grades'!B31</f>
        <v>Jocelyn Gonzalez</v>
      </c>
      <c r="C94" s="17" t="str">
        <f aca="false">IF(ISNUMBER('Quiz 2 Grades'!M31),'Quiz 2 Grades'!M31,'Quiz 2 Grades'!Q31)</f>
        <v>Missing</v>
      </c>
      <c r="D94" s="15" t="str">
        <f aca="false">IF(ISNUMBER(C94),C94/MaxScore,"")</f>
        <v/>
      </c>
      <c r="E94" s="85" t="str">
        <f aca="false">IFERROR(IF(ISNUMBER(C94),(C94-MeanScore)/SDScore,""),"")</f>
        <v/>
      </c>
      <c r="F94" s="15" t="str">
        <f aca="false">IFERROR(IF(ISNUMBER(C94),PERCENTRANK(Totals,C94),""),"")</f>
        <v/>
      </c>
      <c r="G94" s="15" t="str">
        <f aca="false">IF(ISNUMBER(E94),NORMSDIST(E94),"")</f>
        <v/>
      </c>
      <c r="H94" s="12" t="str">
        <f aca="false">IF(ISNUMBER(E94),IF(E94&gt;=1,"Above +1σ",IF(E94&gt;=0,"Mean to +1σ",IF(E94&gt;=-1,"−1σ to mean",IF(E94&gt;=-2,"−2σ to −1σ","Below −2σ")))),"")</f>
        <v/>
      </c>
    </row>
    <row r="95" customFormat="false" ht="14.25" hidden="false" customHeight="false" outlineLevel="0" collapsed="false">
      <c r="A95" s="17" t="n">
        <f aca="false">'Quiz 2 Grades'!A32</f>
        <v>26</v>
      </c>
      <c r="B95" s="22" t="str">
        <f aca="false">'Quiz 2 Grades'!B32</f>
        <v>Michelle Gutierrez</v>
      </c>
      <c r="C95" s="17" t="str">
        <f aca="false">IF(ISNUMBER('Quiz 2 Grades'!M32),'Quiz 2 Grades'!M32,'Quiz 2 Grades'!Q32)</f>
        <v>Missing</v>
      </c>
      <c r="D95" s="15" t="str">
        <f aca="false">IF(ISNUMBER(C95),C95/MaxScore,"")</f>
        <v/>
      </c>
      <c r="E95" s="85" t="str">
        <f aca="false">IFERROR(IF(ISNUMBER(C95),(C95-MeanScore)/SDScore,""),"")</f>
        <v/>
      </c>
      <c r="F95" s="15" t="str">
        <f aca="false">IFERROR(IF(ISNUMBER(C95),PERCENTRANK(Totals,C95),""),"")</f>
        <v/>
      </c>
      <c r="G95" s="15" t="str">
        <f aca="false">IF(ISNUMBER(E95),NORMSDIST(E95),"")</f>
        <v/>
      </c>
      <c r="H95" s="12" t="str">
        <f aca="false">IF(ISNUMBER(E95),IF(E95&gt;=1,"Above +1σ",IF(E95&gt;=0,"Mean to +1σ",IF(E95&gt;=-1,"−1σ to mean",IF(E95&gt;=-2,"−2σ to −1σ","Below −2σ")))),"")</f>
        <v/>
      </c>
    </row>
    <row r="96" customFormat="false" ht="14.25" hidden="false" customHeight="false" outlineLevel="0" collapsed="false">
      <c r="A96" s="17" t="n">
        <f aca="false">'Quiz 2 Grades'!A33</f>
        <v>27</v>
      </c>
      <c r="B96" s="22" t="str">
        <f aca="false">'Quiz 2 Grades'!B33</f>
        <v>Rachel Holmes</v>
      </c>
      <c r="C96" s="17" t="str">
        <f aca="false">IF(ISNUMBER('Quiz 2 Grades'!M33),'Quiz 2 Grades'!M33,'Quiz 2 Grades'!Q33)</f>
        <v>Missing</v>
      </c>
      <c r="D96" s="15" t="str">
        <f aca="false">IF(ISNUMBER(C96),C96/MaxScore,"")</f>
        <v/>
      </c>
      <c r="E96" s="85" t="str">
        <f aca="false">IFERROR(IF(ISNUMBER(C96),(C96-MeanScore)/SDScore,""),"")</f>
        <v/>
      </c>
      <c r="F96" s="15" t="str">
        <f aca="false">IFERROR(IF(ISNUMBER(C96),PERCENTRANK(Totals,C96),""),"")</f>
        <v/>
      </c>
      <c r="G96" s="15" t="str">
        <f aca="false">IF(ISNUMBER(E96),NORMSDIST(E96),"")</f>
        <v/>
      </c>
      <c r="H96" s="12" t="str">
        <f aca="false">IF(ISNUMBER(E96),IF(E96&gt;=1,"Above +1σ",IF(E96&gt;=0,"Mean to +1σ",IF(E96&gt;=-1,"−1σ to mean",IF(E96&gt;=-2,"−2σ to −1σ","Below −2σ")))),"")</f>
        <v/>
      </c>
    </row>
    <row r="97" customFormat="false" ht="14.25" hidden="false" customHeight="false" outlineLevel="0" collapsed="false">
      <c r="A97" s="17" t="n">
        <f aca="false">'Quiz 2 Grades'!A34</f>
        <v>28</v>
      </c>
      <c r="B97" s="22" t="str">
        <f aca="false">'Quiz 2 Grades'!B34</f>
        <v>Emily Ickert</v>
      </c>
      <c r="C97" s="17" t="str">
        <f aca="false">IF(ISNUMBER('Quiz 2 Grades'!M34),'Quiz 2 Grades'!M34,'Quiz 2 Grades'!Q34)</f>
        <v>Missing</v>
      </c>
      <c r="D97" s="15" t="str">
        <f aca="false">IF(ISNUMBER(C97),C97/MaxScore,"")</f>
        <v/>
      </c>
      <c r="E97" s="85" t="str">
        <f aca="false">IFERROR(IF(ISNUMBER(C97),(C97-MeanScore)/SDScore,""),"")</f>
        <v/>
      </c>
      <c r="F97" s="15" t="str">
        <f aca="false">IFERROR(IF(ISNUMBER(C97),PERCENTRANK(Totals,C97),""),"")</f>
        <v/>
      </c>
      <c r="G97" s="15" t="str">
        <f aca="false">IF(ISNUMBER(E97),NORMSDIST(E97),"")</f>
        <v/>
      </c>
      <c r="H97" s="12" t="str">
        <f aca="false">IF(ISNUMBER(E97),IF(E97&gt;=1,"Above +1σ",IF(E97&gt;=0,"Mean to +1σ",IF(E97&gt;=-1,"−1σ to mean",IF(E97&gt;=-2,"−2σ to −1σ","Below −2σ")))),"")</f>
        <v/>
      </c>
    </row>
    <row r="98" customFormat="false" ht="14.25" hidden="false" customHeight="false" outlineLevel="0" collapsed="false">
      <c r="A98" s="17" t="n">
        <f aca="false">'Quiz 2 Grades'!A35</f>
        <v>29</v>
      </c>
      <c r="B98" s="22" t="str">
        <f aca="false">'Quiz 2 Grades'!B35</f>
        <v>Mihal Jacob</v>
      </c>
      <c r="C98" s="17" t="str">
        <f aca="false">IF(ISNUMBER('Quiz 2 Grades'!M35),'Quiz 2 Grades'!M35,'Quiz 2 Grades'!Q35)</f>
        <v>Missing</v>
      </c>
      <c r="D98" s="15" t="str">
        <f aca="false">IF(ISNUMBER(C98),C98/MaxScore,"")</f>
        <v/>
      </c>
      <c r="E98" s="85" t="str">
        <f aca="false">IFERROR(IF(ISNUMBER(C98),(C98-MeanScore)/SDScore,""),"")</f>
        <v/>
      </c>
      <c r="F98" s="15" t="str">
        <f aca="false">IFERROR(IF(ISNUMBER(C98),PERCENTRANK(Totals,C98),""),"")</f>
        <v/>
      </c>
      <c r="G98" s="15" t="str">
        <f aca="false">IF(ISNUMBER(E98),NORMSDIST(E98),"")</f>
        <v/>
      </c>
      <c r="H98" s="12" t="str">
        <f aca="false">IF(ISNUMBER(E98),IF(E98&gt;=1,"Above +1σ",IF(E98&gt;=0,"Mean to +1σ",IF(E98&gt;=-1,"−1σ to mean",IF(E98&gt;=-2,"−2σ to −1σ","Below −2σ")))),"")</f>
        <v/>
      </c>
    </row>
    <row r="99" customFormat="false" ht="14.25" hidden="false" customHeight="false" outlineLevel="0" collapsed="false">
      <c r="A99" s="17" t="n">
        <f aca="false">'Quiz 2 Grades'!A36</f>
        <v>30</v>
      </c>
      <c r="B99" s="22" t="str">
        <f aca="false">'Quiz 2 Grades'!B36</f>
        <v>Alyssa Jasso</v>
      </c>
      <c r="C99" s="17" t="str">
        <f aca="false">IF(ISNUMBER('Quiz 2 Grades'!M36),'Quiz 2 Grades'!M36,'Quiz 2 Grades'!Q36)</f>
        <v>Missing</v>
      </c>
      <c r="D99" s="15" t="str">
        <f aca="false">IF(ISNUMBER(C99),C99/MaxScore,"")</f>
        <v/>
      </c>
      <c r="E99" s="85" t="str">
        <f aca="false">IFERROR(IF(ISNUMBER(C99),(C99-MeanScore)/SDScore,""),"")</f>
        <v/>
      </c>
      <c r="F99" s="15" t="str">
        <f aca="false">IFERROR(IF(ISNUMBER(C99),PERCENTRANK(Totals,C99),""),"")</f>
        <v/>
      </c>
      <c r="G99" s="15" t="str">
        <f aca="false">IF(ISNUMBER(E99),NORMSDIST(E99),"")</f>
        <v/>
      </c>
      <c r="H99" s="12" t="str">
        <f aca="false">IF(ISNUMBER(E99),IF(E99&gt;=1,"Above +1σ",IF(E99&gt;=0,"Mean to +1σ",IF(E99&gt;=-1,"−1σ to mean",IF(E99&gt;=-2,"−2σ to −1σ","Below −2σ")))),"")</f>
        <v/>
      </c>
    </row>
    <row r="100" customFormat="false" ht="14.25" hidden="false" customHeight="false" outlineLevel="0" collapsed="false">
      <c r="A100" s="17" t="n">
        <f aca="false">'Quiz 2 Grades'!A37</f>
        <v>31</v>
      </c>
      <c r="B100" s="22" t="str">
        <f aca="false">'Quiz 2 Grades'!B37</f>
        <v>Isabella Juarez</v>
      </c>
      <c r="C100" s="17" t="str">
        <f aca="false">IF(ISNUMBER('Quiz 2 Grades'!M37),'Quiz 2 Grades'!M37,'Quiz 2 Grades'!Q37)</f>
        <v>Missing</v>
      </c>
      <c r="D100" s="15" t="str">
        <f aca="false">IF(ISNUMBER(C100),C100/MaxScore,"")</f>
        <v/>
      </c>
      <c r="E100" s="85" t="str">
        <f aca="false">IFERROR(IF(ISNUMBER(C100),(C100-MeanScore)/SDScore,""),"")</f>
        <v/>
      </c>
      <c r="F100" s="15" t="str">
        <f aca="false">IFERROR(IF(ISNUMBER(C100),PERCENTRANK(Totals,C100),""),"")</f>
        <v/>
      </c>
      <c r="G100" s="15" t="str">
        <f aca="false">IF(ISNUMBER(E100),NORMSDIST(E100),"")</f>
        <v/>
      </c>
      <c r="H100" s="12" t="str">
        <f aca="false">IF(ISNUMBER(E100),IF(E100&gt;=1,"Above +1σ",IF(E100&gt;=0,"Mean to +1σ",IF(E100&gt;=-1,"−1σ to mean",IF(E100&gt;=-2,"−2σ to −1σ","Below −2σ")))),"")</f>
        <v/>
      </c>
    </row>
    <row r="101" customFormat="false" ht="14.25" hidden="false" customHeight="false" outlineLevel="0" collapsed="false">
      <c r="A101" s="17" t="n">
        <f aca="false">'Quiz 2 Grades'!A38</f>
        <v>32</v>
      </c>
      <c r="B101" s="22" t="str">
        <f aca="false">'Quiz 2 Grades'!B38</f>
        <v>Maryam Ka</v>
      </c>
      <c r="C101" s="17" t="str">
        <f aca="false">IF(ISNUMBER('Quiz 2 Grades'!M38),'Quiz 2 Grades'!M38,'Quiz 2 Grades'!Q38)</f>
        <v>Missing</v>
      </c>
      <c r="D101" s="15" t="str">
        <f aca="false">IF(ISNUMBER(C101),C101/MaxScore,"")</f>
        <v/>
      </c>
      <c r="E101" s="85" t="str">
        <f aca="false">IFERROR(IF(ISNUMBER(C101),(C101-MeanScore)/SDScore,""),"")</f>
        <v/>
      </c>
      <c r="F101" s="15" t="str">
        <f aca="false">IFERROR(IF(ISNUMBER(C101),PERCENTRANK(Totals,C101),""),"")</f>
        <v/>
      </c>
      <c r="G101" s="15" t="str">
        <f aca="false">IF(ISNUMBER(E101),NORMSDIST(E101),"")</f>
        <v/>
      </c>
      <c r="H101" s="12" t="str">
        <f aca="false">IF(ISNUMBER(E101),IF(E101&gt;=1,"Above +1σ",IF(E101&gt;=0,"Mean to +1σ",IF(E101&gt;=-1,"−1σ to mean",IF(E101&gt;=-2,"−2σ to −1σ","Below −2σ")))),"")</f>
        <v/>
      </c>
    </row>
    <row r="102" customFormat="false" ht="14.25" hidden="false" customHeight="false" outlineLevel="0" collapsed="false">
      <c r="A102" s="17" t="n">
        <f aca="false">'Quiz 2 Grades'!A39</f>
        <v>33</v>
      </c>
      <c r="B102" s="22" t="str">
        <f aca="false">'Quiz 2 Grades'!B39</f>
        <v>Jenna Koestler</v>
      </c>
      <c r="C102" s="17" t="str">
        <f aca="false">IF(ISNUMBER('Quiz 2 Grades'!M39),'Quiz 2 Grades'!M39,'Quiz 2 Grades'!Q39)</f>
        <v>Missing</v>
      </c>
      <c r="D102" s="15" t="str">
        <f aca="false">IF(ISNUMBER(C102),C102/MaxScore,"")</f>
        <v/>
      </c>
      <c r="E102" s="85" t="str">
        <f aca="false">IFERROR(IF(ISNUMBER(C102),(C102-MeanScore)/SDScore,""),"")</f>
        <v/>
      </c>
      <c r="F102" s="15" t="str">
        <f aca="false">IFERROR(IF(ISNUMBER(C102),PERCENTRANK(Totals,C102),""),"")</f>
        <v/>
      </c>
      <c r="G102" s="15" t="str">
        <f aca="false">IF(ISNUMBER(E102),NORMSDIST(E102),"")</f>
        <v/>
      </c>
      <c r="H102" s="12" t="str">
        <f aca="false">IF(ISNUMBER(E102),IF(E102&gt;=1,"Above +1σ",IF(E102&gt;=0,"Mean to +1σ",IF(E102&gt;=-1,"−1σ to mean",IF(E102&gt;=-2,"−2σ to −1σ","Below −2σ")))),"")</f>
        <v/>
      </c>
    </row>
    <row r="103" customFormat="false" ht="14.25" hidden="false" customHeight="false" outlineLevel="0" collapsed="false">
      <c r="A103" s="17" t="n">
        <f aca="false">'Quiz 2 Grades'!A40</f>
        <v>34</v>
      </c>
      <c r="B103" s="22" t="str">
        <f aca="false">'Quiz 2 Grades'!B40</f>
        <v>Shawn Kwende</v>
      </c>
      <c r="C103" s="17" t="str">
        <f aca="false">IF(ISNUMBER('Quiz 2 Grades'!M40),'Quiz 2 Grades'!M40,'Quiz 2 Grades'!Q40)</f>
        <v>Missing</v>
      </c>
      <c r="D103" s="15" t="str">
        <f aca="false">IF(ISNUMBER(C103),C103/MaxScore,"")</f>
        <v/>
      </c>
      <c r="E103" s="85" t="str">
        <f aca="false">IFERROR(IF(ISNUMBER(C103),(C103-MeanScore)/SDScore,""),"")</f>
        <v/>
      </c>
      <c r="F103" s="15" t="str">
        <f aca="false">IFERROR(IF(ISNUMBER(C103),PERCENTRANK(Totals,C103),""),"")</f>
        <v/>
      </c>
      <c r="G103" s="15" t="str">
        <f aca="false">IF(ISNUMBER(E103),NORMSDIST(E103),"")</f>
        <v/>
      </c>
      <c r="H103" s="12" t="str">
        <f aca="false">IF(ISNUMBER(E103),IF(E103&gt;=1,"Above +1σ",IF(E103&gt;=0,"Mean to +1σ",IF(E103&gt;=-1,"−1σ to mean",IF(E103&gt;=-2,"−2σ to −1σ","Below −2σ")))),"")</f>
        <v/>
      </c>
    </row>
    <row r="104" customFormat="false" ht="14.25" hidden="false" customHeight="false" outlineLevel="0" collapsed="false">
      <c r="A104" s="17" t="n">
        <f aca="false">'Quiz 2 Grades'!A41</f>
        <v>35</v>
      </c>
      <c r="B104" s="22" t="str">
        <f aca="false">'Quiz 2 Grades'!B41</f>
        <v>Kara Larsen</v>
      </c>
      <c r="C104" s="17" t="str">
        <f aca="false">IF(ISNUMBER('Quiz 2 Grades'!M41),'Quiz 2 Grades'!M41,'Quiz 2 Grades'!Q41)</f>
        <v>Missing</v>
      </c>
      <c r="D104" s="15" t="str">
        <f aca="false">IF(ISNUMBER(C104),C104/MaxScore,"")</f>
        <v/>
      </c>
      <c r="E104" s="85" t="str">
        <f aca="false">IFERROR(IF(ISNUMBER(C104),(C104-MeanScore)/SDScore,""),"")</f>
        <v/>
      </c>
      <c r="F104" s="15" t="str">
        <f aca="false">IFERROR(IF(ISNUMBER(C104),PERCENTRANK(Totals,C104),""),"")</f>
        <v/>
      </c>
      <c r="G104" s="15" t="str">
        <f aca="false">IF(ISNUMBER(E104),NORMSDIST(E104),"")</f>
        <v/>
      </c>
      <c r="H104" s="12" t="str">
        <f aca="false">IF(ISNUMBER(E104),IF(E104&gt;=1,"Above +1σ",IF(E104&gt;=0,"Mean to +1σ",IF(E104&gt;=-1,"−1σ to mean",IF(E104&gt;=-2,"−2σ to −1σ","Below −2σ")))),"")</f>
        <v/>
      </c>
    </row>
    <row r="105" customFormat="false" ht="14.25" hidden="false" customHeight="false" outlineLevel="0" collapsed="false">
      <c r="A105" s="17" t="n">
        <f aca="false">'Quiz 2 Grades'!A42</f>
        <v>36</v>
      </c>
      <c r="B105" s="22" t="str">
        <f aca="false">'Quiz 2 Grades'!B42</f>
        <v>Diego Leal</v>
      </c>
      <c r="C105" s="17" t="str">
        <f aca="false">IF(ISNUMBER('Quiz 2 Grades'!M42),'Quiz 2 Grades'!M42,'Quiz 2 Grades'!Q42)</f>
        <v>Missing</v>
      </c>
      <c r="D105" s="15" t="str">
        <f aca="false">IF(ISNUMBER(C105),C105/MaxScore,"")</f>
        <v/>
      </c>
      <c r="E105" s="85" t="str">
        <f aca="false">IFERROR(IF(ISNUMBER(C105),(C105-MeanScore)/SDScore,""),"")</f>
        <v/>
      </c>
      <c r="F105" s="15" t="str">
        <f aca="false">IFERROR(IF(ISNUMBER(C105),PERCENTRANK(Totals,C105),""),"")</f>
        <v/>
      </c>
      <c r="G105" s="15" t="str">
        <f aca="false">IF(ISNUMBER(E105),NORMSDIST(E105),"")</f>
        <v/>
      </c>
      <c r="H105" s="12" t="str">
        <f aca="false">IF(ISNUMBER(E105),IF(E105&gt;=1,"Above +1σ",IF(E105&gt;=0,"Mean to +1σ",IF(E105&gt;=-1,"−1σ to mean",IF(E105&gt;=-2,"−2σ to −1σ","Below −2σ")))),"")</f>
        <v/>
      </c>
    </row>
    <row r="106" customFormat="false" ht="14.25" hidden="false" customHeight="false" outlineLevel="0" collapsed="false">
      <c r="A106" s="17" t="n">
        <f aca="false">'Quiz 2 Grades'!A43</f>
        <v>37</v>
      </c>
      <c r="B106" s="22" t="str">
        <f aca="false">'Quiz 2 Grades'!B43</f>
        <v>Valeria Leon</v>
      </c>
      <c r="C106" s="17" t="str">
        <f aca="false">IF(ISNUMBER('Quiz 2 Grades'!M43),'Quiz 2 Grades'!M43,'Quiz 2 Grades'!Q43)</f>
        <v>Missing</v>
      </c>
      <c r="D106" s="15" t="str">
        <f aca="false">IF(ISNUMBER(C106),C106/MaxScore,"")</f>
        <v/>
      </c>
      <c r="E106" s="85" t="str">
        <f aca="false">IFERROR(IF(ISNUMBER(C106),(C106-MeanScore)/SDScore,""),"")</f>
        <v/>
      </c>
      <c r="F106" s="15" t="str">
        <f aca="false">IFERROR(IF(ISNUMBER(C106),PERCENTRANK(Totals,C106),""),"")</f>
        <v/>
      </c>
      <c r="G106" s="15" t="str">
        <f aca="false">IF(ISNUMBER(E106),NORMSDIST(E106),"")</f>
        <v/>
      </c>
      <c r="H106" s="12" t="str">
        <f aca="false">IF(ISNUMBER(E106),IF(E106&gt;=1,"Above +1σ",IF(E106&gt;=0,"Mean to +1σ",IF(E106&gt;=-1,"−1σ to mean",IF(E106&gt;=-2,"−2σ to −1σ","Below −2σ")))),"")</f>
        <v/>
      </c>
    </row>
    <row r="107" customFormat="false" ht="14.25" hidden="false" customHeight="false" outlineLevel="0" collapsed="false">
      <c r="A107" s="17" t="n">
        <f aca="false">'Quiz 2 Grades'!A44</f>
        <v>38</v>
      </c>
      <c r="B107" s="22" t="str">
        <f aca="false">'Quiz 2 Grades'!B44</f>
        <v>Aaron Linhart</v>
      </c>
      <c r="C107" s="17" t="str">
        <f aca="false">IF(ISNUMBER('Quiz 2 Grades'!M44),'Quiz 2 Grades'!M44,'Quiz 2 Grades'!Q44)</f>
        <v>Missing</v>
      </c>
      <c r="D107" s="15" t="str">
        <f aca="false">IF(ISNUMBER(C107),C107/MaxScore,"")</f>
        <v/>
      </c>
      <c r="E107" s="85" t="str">
        <f aca="false">IFERROR(IF(ISNUMBER(C107),(C107-MeanScore)/SDScore,""),"")</f>
        <v/>
      </c>
      <c r="F107" s="15" t="str">
        <f aca="false">IFERROR(IF(ISNUMBER(C107),PERCENTRANK(Totals,C107),""),"")</f>
        <v/>
      </c>
      <c r="G107" s="15" t="str">
        <f aca="false">IF(ISNUMBER(E107),NORMSDIST(E107),"")</f>
        <v/>
      </c>
      <c r="H107" s="12" t="str">
        <f aca="false">IF(ISNUMBER(E107),IF(E107&gt;=1,"Above +1σ",IF(E107&gt;=0,"Mean to +1σ",IF(E107&gt;=-1,"−1σ to mean",IF(E107&gt;=-2,"−2σ to −1σ","Below −2σ")))),"")</f>
        <v/>
      </c>
    </row>
    <row r="108" customFormat="false" ht="14.25" hidden="false" customHeight="false" outlineLevel="0" collapsed="false">
      <c r="A108" s="17" t="n">
        <f aca="false">'Quiz 2 Grades'!A45</f>
        <v>39</v>
      </c>
      <c r="B108" s="22" t="str">
        <f aca="false">'Quiz 2 Grades'!B45</f>
        <v>Jared O'neal</v>
      </c>
      <c r="C108" s="17" t="str">
        <f aca="false">IF(ISNUMBER('Quiz 2 Grades'!M45),'Quiz 2 Grades'!M45,'Quiz 2 Grades'!Q45)</f>
        <v>Missing</v>
      </c>
      <c r="D108" s="15" t="str">
        <f aca="false">IF(ISNUMBER(C108),C108/MaxScore,"")</f>
        <v/>
      </c>
      <c r="E108" s="85" t="str">
        <f aca="false">IFERROR(IF(ISNUMBER(C108),(C108-MeanScore)/SDScore,""),"")</f>
        <v/>
      </c>
      <c r="F108" s="15" t="str">
        <f aca="false">IFERROR(IF(ISNUMBER(C108),PERCENTRANK(Totals,C108),""),"")</f>
        <v/>
      </c>
      <c r="G108" s="15" t="str">
        <f aca="false">IF(ISNUMBER(E108),NORMSDIST(E108),"")</f>
        <v/>
      </c>
      <c r="H108" s="12" t="str">
        <f aca="false">IF(ISNUMBER(E108),IF(E108&gt;=1,"Above +1σ",IF(E108&gt;=0,"Mean to +1σ",IF(E108&gt;=-1,"−1σ to mean",IF(E108&gt;=-2,"−2σ to −1σ","Below −2σ")))),"")</f>
        <v/>
      </c>
    </row>
    <row r="109" customFormat="false" ht="14.25" hidden="false" customHeight="false" outlineLevel="0" collapsed="false">
      <c r="A109" s="17" t="n">
        <f aca="false">'Quiz 2 Grades'!A46</f>
        <v>40</v>
      </c>
      <c r="B109" s="22" t="str">
        <f aca="false">'Quiz 2 Grades'!B46</f>
        <v>Daniela Osorio</v>
      </c>
      <c r="C109" s="17" t="str">
        <f aca="false">IF(ISNUMBER('Quiz 2 Grades'!M46),'Quiz 2 Grades'!M46,'Quiz 2 Grades'!Q46)</f>
        <v>Missing</v>
      </c>
      <c r="D109" s="15" t="str">
        <f aca="false">IF(ISNUMBER(C109),C109/MaxScore,"")</f>
        <v/>
      </c>
      <c r="E109" s="85" t="str">
        <f aca="false">IFERROR(IF(ISNUMBER(C109),(C109-MeanScore)/SDScore,""),"")</f>
        <v/>
      </c>
      <c r="F109" s="15" t="str">
        <f aca="false">IFERROR(IF(ISNUMBER(C109),PERCENTRANK(Totals,C109),""),"")</f>
        <v/>
      </c>
      <c r="G109" s="15" t="str">
        <f aca="false">IF(ISNUMBER(E109),NORMSDIST(E109),"")</f>
        <v/>
      </c>
      <c r="H109" s="12" t="str">
        <f aca="false">IF(ISNUMBER(E109),IF(E109&gt;=1,"Above +1σ",IF(E109&gt;=0,"Mean to +1σ",IF(E109&gt;=-1,"−1σ to mean",IF(E109&gt;=-2,"−2σ to −1σ","Below −2σ")))),"")</f>
        <v/>
      </c>
    </row>
    <row r="110" customFormat="false" ht="14.25" hidden="false" customHeight="false" outlineLevel="0" collapsed="false">
      <c r="A110" s="17" t="n">
        <f aca="false">'Quiz 2 Grades'!A47</f>
        <v>41</v>
      </c>
      <c r="B110" s="22" t="str">
        <f aca="false">'Quiz 2 Grades'!B47</f>
        <v>Yasmine Padilla</v>
      </c>
      <c r="C110" s="17" t="str">
        <f aca="false">IF(ISNUMBER('Quiz 2 Grades'!M47),'Quiz 2 Grades'!M47,'Quiz 2 Grades'!Q47)</f>
        <v>Missing</v>
      </c>
      <c r="D110" s="15" t="str">
        <f aca="false">IF(ISNUMBER(C110),C110/MaxScore,"")</f>
        <v/>
      </c>
      <c r="E110" s="85" t="str">
        <f aca="false">IFERROR(IF(ISNUMBER(C110),(C110-MeanScore)/SDScore,""),"")</f>
        <v/>
      </c>
      <c r="F110" s="15" t="str">
        <f aca="false">IFERROR(IF(ISNUMBER(C110),PERCENTRANK(Totals,C110),""),"")</f>
        <v/>
      </c>
      <c r="G110" s="15" t="str">
        <f aca="false">IF(ISNUMBER(E110),NORMSDIST(E110),"")</f>
        <v/>
      </c>
      <c r="H110" s="12" t="str">
        <f aca="false">IF(ISNUMBER(E110),IF(E110&gt;=1,"Above +1σ",IF(E110&gt;=0,"Mean to +1σ",IF(E110&gt;=-1,"−1σ to mean",IF(E110&gt;=-2,"−2σ to −1σ","Below −2σ")))),"")</f>
        <v/>
      </c>
    </row>
    <row r="111" customFormat="false" ht="14.25" hidden="false" customHeight="false" outlineLevel="0" collapsed="false">
      <c r="A111" s="17" t="n">
        <f aca="false">'Quiz 2 Grades'!A48</f>
        <v>42</v>
      </c>
      <c r="B111" s="22" t="str">
        <f aca="false">'Quiz 2 Grades'!B48</f>
        <v>Macie Perrio</v>
      </c>
      <c r="C111" s="17" t="str">
        <f aca="false">IF(ISNUMBER('Quiz 2 Grades'!M48),'Quiz 2 Grades'!M48,'Quiz 2 Grades'!Q48)</f>
        <v>Missing</v>
      </c>
      <c r="D111" s="15" t="str">
        <f aca="false">IF(ISNUMBER(C111),C111/MaxScore,"")</f>
        <v/>
      </c>
      <c r="E111" s="85" t="str">
        <f aca="false">IFERROR(IF(ISNUMBER(C111),(C111-MeanScore)/SDScore,""),"")</f>
        <v/>
      </c>
      <c r="F111" s="15" t="str">
        <f aca="false">IFERROR(IF(ISNUMBER(C111),PERCENTRANK(Totals,C111),""),"")</f>
        <v/>
      </c>
      <c r="G111" s="15" t="str">
        <f aca="false">IF(ISNUMBER(E111),NORMSDIST(E111),"")</f>
        <v/>
      </c>
      <c r="H111" s="12" t="str">
        <f aca="false">IF(ISNUMBER(E111),IF(E111&gt;=1,"Above +1σ",IF(E111&gt;=0,"Mean to +1σ",IF(E111&gt;=-1,"−1σ to mean",IF(E111&gt;=-2,"−2σ to −1σ","Below −2σ")))),"")</f>
        <v/>
      </c>
    </row>
    <row r="112" customFormat="false" ht="14.25" hidden="false" customHeight="false" outlineLevel="0" collapsed="false">
      <c r="A112" s="17" t="n">
        <f aca="false">'Quiz 2 Grades'!A49</f>
        <v>43</v>
      </c>
      <c r="B112" s="22" t="str">
        <f aca="false">'Quiz 2 Grades'!B49</f>
        <v>Emmalie Potter</v>
      </c>
      <c r="C112" s="17" t="str">
        <f aca="false">IF(ISNUMBER('Quiz 2 Grades'!M49),'Quiz 2 Grades'!M49,'Quiz 2 Grades'!Q49)</f>
        <v>Missing</v>
      </c>
      <c r="D112" s="15" t="str">
        <f aca="false">IF(ISNUMBER(C112),C112/MaxScore,"")</f>
        <v/>
      </c>
      <c r="E112" s="85" t="str">
        <f aca="false">IFERROR(IF(ISNUMBER(C112),(C112-MeanScore)/SDScore,""),"")</f>
        <v/>
      </c>
      <c r="F112" s="15" t="str">
        <f aca="false">IFERROR(IF(ISNUMBER(C112),PERCENTRANK(Totals,C112),""),"")</f>
        <v/>
      </c>
      <c r="G112" s="15" t="str">
        <f aca="false">IF(ISNUMBER(E112),NORMSDIST(E112),"")</f>
        <v/>
      </c>
      <c r="H112" s="12" t="str">
        <f aca="false">IF(ISNUMBER(E112),IF(E112&gt;=1,"Above +1σ",IF(E112&gt;=0,"Mean to +1σ",IF(E112&gt;=-1,"−1σ to mean",IF(E112&gt;=-2,"−2σ to −1σ","Below −2σ")))),"")</f>
        <v/>
      </c>
    </row>
    <row r="113" customFormat="false" ht="14.25" hidden="false" customHeight="false" outlineLevel="0" collapsed="false">
      <c r="A113" s="17" t="n">
        <f aca="false">'Quiz 2 Grades'!A50</f>
        <v>44</v>
      </c>
      <c r="B113" s="22" t="str">
        <f aca="false">'Quiz 2 Grades'!B50</f>
        <v>Luke Presa</v>
      </c>
      <c r="C113" s="17" t="str">
        <f aca="false">IF(ISNUMBER('Quiz 2 Grades'!M50),'Quiz 2 Grades'!M50,'Quiz 2 Grades'!Q50)</f>
        <v>Missing</v>
      </c>
      <c r="D113" s="15" t="str">
        <f aca="false">IF(ISNUMBER(C113),C113/MaxScore,"")</f>
        <v/>
      </c>
      <c r="E113" s="85" t="str">
        <f aca="false">IFERROR(IF(ISNUMBER(C113),(C113-MeanScore)/SDScore,""),"")</f>
        <v/>
      </c>
      <c r="F113" s="15" t="str">
        <f aca="false">IFERROR(IF(ISNUMBER(C113),PERCENTRANK(Totals,C113),""),"")</f>
        <v/>
      </c>
      <c r="G113" s="15" t="str">
        <f aca="false">IF(ISNUMBER(E113),NORMSDIST(E113),"")</f>
        <v/>
      </c>
      <c r="H113" s="12" t="str">
        <f aca="false">IF(ISNUMBER(E113),IF(E113&gt;=1,"Above +1σ",IF(E113&gt;=0,"Mean to +1σ",IF(E113&gt;=-1,"−1σ to mean",IF(E113&gt;=-2,"−2σ to −1σ","Below −2σ")))),"")</f>
        <v/>
      </c>
    </row>
    <row r="114" customFormat="false" ht="14.25" hidden="false" customHeight="false" outlineLevel="0" collapsed="false">
      <c r="A114" s="17" t="n">
        <f aca="false">'Quiz 2 Grades'!A51</f>
        <v>45</v>
      </c>
      <c r="B114" s="22" t="str">
        <f aca="false">'Quiz 2 Grades'!B51</f>
        <v>Benny Reyes</v>
      </c>
      <c r="C114" s="17" t="str">
        <f aca="false">IF(ISNUMBER('Quiz 2 Grades'!M51),'Quiz 2 Grades'!M51,'Quiz 2 Grades'!Q51)</f>
        <v>Missing</v>
      </c>
      <c r="D114" s="15" t="str">
        <f aca="false">IF(ISNUMBER(C114),C114/MaxScore,"")</f>
        <v/>
      </c>
      <c r="E114" s="85" t="str">
        <f aca="false">IFERROR(IF(ISNUMBER(C114),(C114-MeanScore)/SDScore,""),"")</f>
        <v/>
      </c>
      <c r="F114" s="15" t="str">
        <f aca="false">IFERROR(IF(ISNUMBER(C114),PERCENTRANK(Totals,C114),""),"")</f>
        <v/>
      </c>
      <c r="G114" s="15" t="str">
        <f aca="false">IF(ISNUMBER(E114),NORMSDIST(E114),"")</f>
        <v/>
      </c>
      <c r="H114" s="12" t="str">
        <f aca="false">IF(ISNUMBER(E114),IF(E114&gt;=1,"Above +1σ",IF(E114&gt;=0,"Mean to +1σ",IF(E114&gt;=-1,"−1σ to mean",IF(E114&gt;=-2,"−2σ to −1σ","Below −2σ")))),"")</f>
        <v/>
      </c>
    </row>
    <row r="115" customFormat="false" ht="14.25" hidden="false" customHeight="false" outlineLevel="0" collapsed="false">
      <c r="A115" s="17" t="n">
        <f aca="false">'Quiz 2 Grades'!A52</f>
        <v>46</v>
      </c>
      <c r="B115" s="22" t="str">
        <f aca="false">'Quiz 2 Grades'!B52</f>
        <v>Noah Rodriguez</v>
      </c>
      <c r="C115" s="17" t="str">
        <f aca="false">IF(ISNUMBER('Quiz 2 Grades'!M52),'Quiz 2 Grades'!M52,'Quiz 2 Grades'!Q52)</f>
        <v>Missing</v>
      </c>
      <c r="D115" s="15" t="str">
        <f aca="false">IF(ISNUMBER(C115),C115/MaxScore,"")</f>
        <v/>
      </c>
      <c r="E115" s="85" t="str">
        <f aca="false">IFERROR(IF(ISNUMBER(C115),(C115-MeanScore)/SDScore,""),"")</f>
        <v/>
      </c>
      <c r="F115" s="15" t="str">
        <f aca="false">IFERROR(IF(ISNUMBER(C115),PERCENTRANK(Totals,C115),""),"")</f>
        <v/>
      </c>
      <c r="G115" s="15" t="str">
        <f aca="false">IF(ISNUMBER(E115),NORMSDIST(E115),"")</f>
        <v/>
      </c>
      <c r="H115" s="12" t="str">
        <f aca="false">IF(ISNUMBER(E115),IF(E115&gt;=1,"Above +1σ",IF(E115&gt;=0,"Mean to +1σ",IF(E115&gt;=-1,"−1σ to mean",IF(E115&gt;=-2,"−2σ to −1σ","Below −2σ")))),"")</f>
        <v/>
      </c>
    </row>
    <row r="116" customFormat="false" ht="14.25" hidden="false" customHeight="false" outlineLevel="0" collapsed="false">
      <c r="A116" s="17" t="n">
        <f aca="false">'Quiz 2 Grades'!A53</f>
        <v>47</v>
      </c>
      <c r="B116" s="22" t="str">
        <f aca="false">'Quiz 2 Grades'!B53</f>
        <v>Roman Romashkin</v>
      </c>
      <c r="C116" s="17" t="str">
        <f aca="false">IF(ISNUMBER('Quiz 2 Grades'!M53),'Quiz 2 Grades'!M53,'Quiz 2 Grades'!Q53)</f>
        <v>Missing</v>
      </c>
      <c r="D116" s="15" t="str">
        <f aca="false">IF(ISNUMBER(C116),C116/MaxScore,"")</f>
        <v/>
      </c>
      <c r="E116" s="85" t="str">
        <f aca="false">IFERROR(IF(ISNUMBER(C116),(C116-MeanScore)/SDScore,""),"")</f>
        <v/>
      </c>
      <c r="F116" s="15" t="str">
        <f aca="false">IFERROR(IF(ISNUMBER(C116),PERCENTRANK(Totals,C116),""),"")</f>
        <v/>
      </c>
      <c r="G116" s="15" t="str">
        <f aca="false">IF(ISNUMBER(E116),NORMSDIST(E116),"")</f>
        <v/>
      </c>
      <c r="H116" s="12" t="str">
        <f aca="false">IF(ISNUMBER(E116),IF(E116&gt;=1,"Above +1σ",IF(E116&gt;=0,"Mean to +1σ",IF(E116&gt;=-1,"−1σ to mean",IF(E116&gt;=-2,"−2σ to −1σ","Below −2σ")))),"")</f>
        <v/>
      </c>
    </row>
    <row r="117" customFormat="false" ht="14.25" hidden="false" customHeight="false" outlineLevel="0" collapsed="false">
      <c r="A117" s="17" t="n">
        <f aca="false">'Quiz 2 Grades'!A54</f>
        <v>48</v>
      </c>
      <c r="B117" s="22" t="str">
        <f aca="false">'Quiz 2 Grades'!B54</f>
        <v>Kayra Rushing</v>
      </c>
      <c r="C117" s="17" t="str">
        <f aca="false">IF(ISNUMBER('Quiz 2 Grades'!M54),'Quiz 2 Grades'!M54,'Quiz 2 Grades'!Q54)</f>
        <v>Missing</v>
      </c>
      <c r="D117" s="15" t="str">
        <f aca="false">IF(ISNUMBER(C117),C117/MaxScore,"")</f>
        <v/>
      </c>
      <c r="E117" s="85" t="str">
        <f aca="false">IFERROR(IF(ISNUMBER(C117),(C117-MeanScore)/SDScore,""),"")</f>
        <v/>
      </c>
      <c r="F117" s="15" t="str">
        <f aca="false">IFERROR(IF(ISNUMBER(C117),PERCENTRANK(Totals,C117),""),"")</f>
        <v/>
      </c>
      <c r="G117" s="15" t="str">
        <f aca="false">IF(ISNUMBER(E117),NORMSDIST(E117),"")</f>
        <v/>
      </c>
      <c r="H117" s="12" t="str">
        <f aca="false">IF(ISNUMBER(E117),IF(E117&gt;=1,"Above +1σ",IF(E117&gt;=0,"Mean to +1σ",IF(E117&gt;=-1,"−1σ to mean",IF(E117&gt;=-2,"−2σ to −1σ","Below −2σ")))),"")</f>
        <v/>
      </c>
    </row>
    <row r="118" customFormat="false" ht="14.25" hidden="false" customHeight="false" outlineLevel="0" collapsed="false">
      <c r="A118" s="17" t="n">
        <f aca="false">'Quiz 2 Grades'!A55</f>
        <v>49</v>
      </c>
      <c r="B118" s="22" t="str">
        <f aca="false">'Quiz 2 Grades'!B55</f>
        <v>Brooke Salada</v>
      </c>
      <c r="C118" s="17" t="str">
        <f aca="false">IF(ISNUMBER('Quiz 2 Grades'!M55),'Quiz 2 Grades'!M55,'Quiz 2 Grades'!Q55)</f>
        <v>Missing</v>
      </c>
      <c r="D118" s="15" t="str">
        <f aca="false">IF(ISNUMBER(C118),C118/MaxScore,"")</f>
        <v/>
      </c>
      <c r="E118" s="85" t="str">
        <f aca="false">IFERROR(IF(ISNUMBER(C118),(C118-MeanScore)/SDScore,""),"")</f>
        <v/>
      </c>
      <c r="F118" s="15" t="str">
        <f aca="false">IFERROR(IF(ISNUMBER(C118),PERCENTRANK(Totals,C118),""),"")</f>
        <v/>
      </c>
      <c r="G118" s="15" t="str">
        <f aca="false">IF(ISNUMBER(E118),NORMSDIST(E118),"")</f>
        <v/>
      </c>
      <c r="H118" s="12" t="str">
        <f aca="false">IF(ISNUMBER(E118),IF(E118&gt;=1,"Above +1σ",IF(E118&gt;=0,"Mean to +1σ",IF(E118&gt;=-1,"−1σ to mean",IF(E118&gt;=-2,"−2σ to −1σ","Below −2σ")))),"")</f>
        <v/>
      </c>
    </row>
    <row r="119" customFormat="false" ht="14.25" hidden="false" customHeight="false" outlineLevel="0" collapsed="false">
      <c r="A119" s="17" t="n">
        <f aca="false">'Quiz 2 Grades'!A56</f>
        <v>50</v>
      </c>
      <c r="B119" s="22" t="str">
        <f aca="false">'Quiz 2 Grades'!B56</f>
        <v>Haylee Senior</v>
      </c>
      <c r="C119" s="17" t="str">
        <f aca="false">IF(ISNUMBER('Quiz 2 Grades'!M56),'Quiz 2 Grades'!M56,'Quiz 2 Grades'!Q56)</f>
        <v>Missing</v>
      </c>
      <c r="D119" s="15" t="str">
        <f aca="false">IF(ISNUMBER(C119),C119/MaxScore,"")</f>
        <v/>
      </c>
      <c r="E119" s="85" t="str">
        <f aca="false">IFERROR(IF(ISNUMBER(C119),(C119-MeanScore)/SDScore,""),"")</f>
        <v/>
      </c>
      <c r="F119" s="15" t="str">
        <f aca="false">IFERROR(IF(ISNUMBER(C119),PERCENTRANK(Totals,C119),""),"")</f>
        <v/>
      </c>
      <c r="G119" s="15" t="str">
        <f aca="false">IF(ISNUMBER(E119),NORMSDIST(E119),"")</f>
        <v/>
      </c>
      <c r="H119" s="12" t="str">
        <f aca="false">IF(ISNUMBER(E119),IF(E119&gt;=1,"Above +1σ",IF(E119&gt;=0,"Mean to +1σ",IF(E119&gt;=-1,"−1σ to mean",IF(E119&gt;=-2,"−2σ to −1σ","Below −2σ")))),"")</f>
        <v/>
      </c>
    </row>
    <row r="120" customFormat="false" ht="14.25" hidden="false" customHeight="false" outlineLevel="0" collapsed="false">
      <c r="A120" s="17" t="n">
        <f aca="false">'Quiz 2 Grades'!A57</f>
        <v>51</v>
      </c>
      <c r="B120" s="22" t="str">
        <f aca="false">'Quiz 2 Grades'!B57</f>
        <v>Hayley Tarin</v>
      </c>
      <c r="C120" s="17" t="str">
        <f aca="false">IF(ISNUMBER('Quiz 2 Grades'!M57),'Quiz 2 Grades'!M57,'Quiz 2 Grades'!Q57)</f>
        <v>Missing</v>
      </c>
      <c r="D120" s="15" t="str">
        <f aca="false">IF(ISNUMBER(C120),C120/MaxScore,"")</f>
        <v/>
      </c>
      <c r="E120" s="85" t="str">
        <f aca="false">IFERROR(IF(ISNUMBER(C120),(C120-MeanScore)/SDScore,""),"")</f>
        <v/>
      </c>
      <c r="F120" s="15" t="str">
        <f aca="false">IFERROR(IF(ISNUMBER(C120),PERCENTRANK(Totals,C120),""),"")</f>
        <v/>
      </c>
      <c r="G120" s="15" t="str">
        <f aca="false">IF(ISNUMBER(E120),NORMSDIST(E120),"")</f>
        <v/>
      </c>
      <c r="H120" s="12" t="str">
        <f aca="false">IF(ISNUMBER(E120),IF(E120&gt;=1,"Above +1σ",IF(E120&gt;=0,"Mean to +1σ",IF(E120&gt;=-1,"−1σ to mean",IF(E120&gt;=-2,"−2σ to −1σ","Below −2σ")))),"")</f>
        <v/>
      </c>
    </row>
    <row r="121" customFormat="false" ht="14.25" hidden="false" customHeight="false" outlineLevel="0" collapsed="false">
      <c r="A121" s="17" t="n">
        <f aca="false">'Quiz 2 Grades'!A58</f>
        <v>52</v>
      </c>
      <c r="B121" s="22" t="str">
        <f aca="false">'Quiz 2 Grades'!B58</f>
        <v>Shaman Wildman</v>
      </c>
      <c r="C121" s="17" t="str">
        <f aca="false">IF(ISNUMBER('Quiz 2 Grades'!M58),'Quiz 2 Grades'!M58,'Quiz 2 Grades'!Q58)</f>
        <v>Missing</v>
      </c>
      <c r="D121" s="15" t="str">
        <f aca="false">IF(ISNUMBER(C121),C121/MaxScore,"")</f>
        <v/>
      </c>
      <c r="E121" s="85" t="str">
        <f aca="false">IFERROR(IF(ISNUMBER(C121),(C121-MeanScore)/SDScore,""),"")</f>
        <v/>
      </c>
      <c r="F121" s="15" t="str">
        <f aca="false">IFERROR(IF(ISNUMBER(C121),PERCENTRANK(Totals,C121),""),"")</f>
        <v/>
      </c>
      <c r="G121" s="15" t="str">
        <f aca="false">IF(ISNUMBER(E121),NORMSDIST(E121),"")</f>
        <v/>
      </c>
      <c r="H121" s="12" t="str">
        <f aca="false">IF(ISNUMBER(E121),IF(E121&gt;=1,"Above +1σ",IF(E121&gt;=0,"Mean to +1σ",IF(E121&gt;=-1,"−1σ to mean",IF(E121&gt;=-2,"−2σ to −1σ","Below −2σ")))),"")</f>
        <v/>
      </c>
    </row>
  </sheetData>
  <autoFilter ref="A69:H121"/>
  <mergeCells count="19">
    <mergeCell ref="A1:N1"/>
    <mergeCell ref="A2:N2"/>
    <mergeCell ref="A4:N4"/>
    <mergeCell ref="A5:N5"/>
    <mergeCell ref="A6:N6"/>
    <mergeCell ref="A7:N7"/>
    <mergeCell ref="A8:N8"/>
    <mergeCell ref="A9:N9"/>
    <mergeCell ref="A10:N10"/>
    <mergeCell ref="A11:N11"/>
    <mergeCell ref="A13:C13"/>
    <mergeCell ref="J13:N13"/>
    <mergeCell ref="P13:W13"/>
    <mergeCell ref="J20:N21"/>
    <mergeCell ref="J22:N22"/>
    <mergeCell ref="A37:G37"/>
    <mergeCell ref="A55:G55"/>
    <mergeCell ref="E65:H65"/>
    <mergeCell ref="A68:H68"/>
  </mergeCells>
  <conditionalFormatting sqref="Q15:Q66 T15:T66">
    <cfRule type="expression" priority="2" aboveAverage="0" equalAverage="0" bottom="0" percent="0" rank="0" text="" dxfId="21">
      <formula>ISNA(Q15)</formula>
    </cfRule>
  </conditionalFormatting>
  <conditionalFormatting sqref="M15:M19">
    <cfRule type="expression" priority="3" aboveAverage="0" equalAverage="0" bottom="0" percent="0" rank="0" text="" dxfId="12">
      <formula>LEFT(M15,3)="Not"</formula>
    </cfRule>
    <cfRule type="expression" priority="4" aboveAverage="0" equalAverage="0" bottom="0" percent="0" rank="0" text="" dxfId="17">
      <formula>LEFT(M15,3)="Con"</formula>
    </cfRule>
  </conditionalFormatting>
  <conditionalFormatting sqref="G39:G48">
    <cfRule type="colorScale" priority="5">
      <colorScale>
        <cfvo type="num" val="-5"/>
        <cfvo type="num" val="0"/>
        <cfvo type="num" val="5"/>
        <color rgb="FFF8696B"/>
        <color rgb="FFFFFFFF"/>
        <color rgb="FF63BE7B"/>
      </colorScale>
    </cfRule>
  </conditionalFormatting>
  <conditionalFormatting sqref="G57:G64">
    <cfRule type="expression" priority="6" aboveAverage="0" equalAverage="0" bottom="0" percent="0" rank="0" text="" dxfId="17">
      <formula>G57="Good"</formula>
    </cfRule>
    <cfRule type="expression" priority="7" aboveAverage="0" equalAverage="0" bottom="0" percent="0" rank="0" text="" dxfId="18">
      <formula>G57="Fair"</formula>
    </cfRule>
    <cfRule type="expression" priority="8" aboveAverage="0" equalAverage="0" bottom="0" percent="0" rank="0" text="" dxfId="12">
      <formula>G57="Weak"</formula>
    </cfRule>
  </conditionalFormatting>
  <conditionalFormatting sqref="D57:D64">
    <cfRule type="colorScale" priority="9">
      <colorScale>
        <cfvo type="num" val="0.5"/>
        <cfvo type="num" val="0.75"/>
        <cfvo type="num" val="1"/>
        <color rgb="FFF8696B"/>
        <color rgb="FFFFEB84"/>
        <color rgb="FF63BE7B"/>
      </colorScale>
    </cfRule>
  </conditionalFormatting>
  <conditionalFormatting sqref="E70:E121">
    <cfRule type="colorScale" priority="10">
      <colorScale>
        <cfvo type="num" val="-2"/>
        <cfvo type="num" val="0"/>
        <cfvo type="num" val="2"/>
        <color rgb="FFF8696B"/>
        <color rgb="FFFFFFFF"/>
        <color rgb="FF63BE7B"/>
      </colorScale>
    </cfRule>
  </conditionalFormatting>
  <conditionalFormatting sqref="H70:H121">
    <cfRule type="expression" priority="11" aboveAverage="0" equalAverage="0" bottom="0" percent="0" rank="0" text="" dxfId="18">
      <formula>LEFT(H70,3)="−2σ"</formula>
    </cfRule>
    <cfRule type="expression" priority="12" aboveAverage="0" equalAverage="0" bottom="0" percent="0" rank="0" text="" dxfId="12">
      <formula>H70="Below −2σ"</formula>
    </cfRule>
    <cfRule type="expression" priority="13" aboveAverage="0" equalAverage="0" bottom="0" percent="0" rank="0" text="" dxfId="17">
      <formula>H70="Above +1σ"</formula>
    </cfRule>
  </conditionalFormatting>
  <conditionalFormatting sqref="A70:H121">
    <cfRule type="expression" priority="14" aboveAverage="0" equalAverage="0" bottom="0" percent="0" rank="0" text="" dxfId="16">
      <formula>ISTEXT($C70)</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2026-09-23T03:59:27Z</dcterms:created>
  <dc:creator>openpyxl</dc:creator>
  <dc:description/>
  <dc:language>en-US</dc:language>
  <cp:lastModifiedBy/>
  <dcterms:modified xsi:type="dcterms:W3CDTF">2026-10-06T14:43:47Z</dcterms:modified>
  <cp:revision>1</cp:revision>
  <dc:subject/>
  <dc:title>Student Roster &amp; Quiz 2 Grades</dc:title>
</cp:coreProperties>
</file>

<file path=docProps/custom.xml><?xml version="1.0" encoding="utf-8"?>
<Properties xmlns="http://schemas.openxmlformats.org/officeDocument/2006/custom-properties" xmlns:vt="http://schemas.openxmlformats.org/officeDocument/2006/docPropsVTypes"/>
</file>