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;[Red]-&quot;$&quot;#,##0.0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</font>
    <font>
      <name val="Arial"/>
      <b val="1"/>
      <color rgb="00FFFFFF"/>
    </font>
    <font>
      <name val="Arial"/>
    </font>
    <font>
      <name val="Arial"/>
      <color rgb="000563C1"/>
      <u val="single"/>
    </font>
    <font>
      <name val="Arial"/>
      <color rgb="000000FF"/>
    </font>
    <font>
      <name val="Arial"/>
      <b val="1"/>
    </font>
    <font>
      <name val="Arial"/>
      <b val="1"/>
      <color rgb="00000000"/>
    </font>
    <font>
      <name val="Arial"/>
      <b val="1"/>
      <color rgb="000000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3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0" pivotButton="0" quotePrefix="0" xfId="0"/>
    <xf numFmtId="165" fontId="8" fillId="0" borderId="1" pivotButton="0" quotePrefix="0" xfId="0"/>
    <xf numFmtId="165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.co/d/03EFcRHy" TargetMode="External" Id="rId1" /><Relationship Type="http://schemas.openxmlformats.org/officeDocument/2006/relationships/hyperlink" Target="https://b2b.sigmaaldrich.com/US/en/product/sigma/m4159" TargetMode="External" Id="rId2" /><Relationship Type="http://schemas.openxmlformats.org/officeDocument/2006/relationships/hyperlink" Target="https://www.coleparmer.com/i/reagents-sodium-dithionite-purified-wide-mouth-amber-glass-bottle-500-g/7891904" TargetMode="External" Id="rId3" /><Relationship Type="http://schemas.openxmlformats.org/officeDocument/2006/relationships/hyperlink" Target="https://a.co/d/05vP5Umd" TargetMode="External" Id="rId4" /><Relationship Type="http://schemas.openxmlformats.org/officeDocument/2006/relationships/hyperlink" Target="https://a.co/d/07z51SDP" TargetMode="External" Id="rId5" /><Relationship Type="http://schemas.openxmlformats.org/officeDocument/2006/relationships/hyperlink" Target="https://a.co/d/0bte87tQ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22" customWidth="1" min="3" max="3"/>
    <col width="24" customWidth="1" min="4" max="4"/>
    <col width="11" customWidth="1" min="5" max="5"/>
    <col width="6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TA Supplies — Order List (Fall 2026)</t>
        </is>
      </c>
    </row>
    <row r="2">
      <c r="A2" s="2" t="inlineStr">
        <is>
          <t>Type prices in the yellow cells (column G). Subtotals, total and remaining budget update automatically.</t>
        </is>
      </c>
    </row>
    <row r="4">
      <c r="A4" s="3" t="inlineStr">
        <is>
          <t>#</t>
        </is>
      </c>
      <c r="B4" s="3" t="inlineStr">
        <is>
          <t>Item</t>
        </is>
      </c>
      <c r="C4" s="3" t="inlineStr">
        <is>
          <t>Vendor</t>
        </is>
      </c>
      <c r="D4" s="3" t="inlineStr">
        <is>
          <t>Catalog / Item #</t>
        </is>
      </c>
      <c r="E4" s="3" t="inlineStr">
        <is>
          <t>Pack size</t>
        </is>
      </c>
      <c r="F4" s="3" t="inlineStr">
        <is>
          <t>Qty</t>
        </is>
      </c>
      <c r="G4" s="3" t="inlineStr">
        <is>
          <t>Unit price (USD)</t>
        </is>
      </c>
      <c r="H4" s="3" t="inlineStr">
        <is>
          <t>Subtotal (USD)</t>
        </is>
      </c>
      <c r="I4" s="3" t="inlineStr">
        <is>
          <t>Link</t>
        </is>
      </c>
      <c r="J4" s="3" t="inlineStr">
        <is>
          <t>Notes</t>
        </is>
      </c>
    </row>
    <row r="5">
      <c r="A5" s="4" t="n">
        <v>1</v>
      </c>
      <c r="B5" s="4" t="inlineStr">
        <is>
          <t>1000 mL polypropylene bottles with screw caps, 12-pack (Tatuo)</t>
        </is>
      </c>
      <c r="C5" s="4" t="inlineStr">
        <is>
          <t>Amazon</t>
        </is>
      </c>
      <c r="D5" s="4" t="inlineStr">
        <is>
          <t>see link</t>
        </is>
      </c>
      <c r="E5" s="4" t="inlineStr">
        <is>
          <t>12 bottles</t>
        </is>
      </c>
      <c r="F5" s="5" t="n">
        <v>1</v>
      </c>
      <c r="G5" s="6" t="n"/>
      <c r="H5" s="7">
        <f>IF(ISNUMBER(G5),F5*G5,"")</f>
        <v/>
      </c>
      <c r="I5" s="8" t="inlineStr">
        <is>
          <t>Link</t>
        </is>
      </c>
      <c r="J5" s="4" t="inlineStr">
        <is>
          <t>1 pack = 12 bottles. Each bottle 3.54 in W × 7.8 in H, polypropylene. Enter the pack price.</t>
        </is>
      </c>
    </row>
    <row r="6">
      <c r="A6" s="4" t="n">
        <v>2</v>
      </c>
      <c r="B6" s="4" t="inlineStr">
        <is>
          <t>Methylene Blue hydrate, 25 g</t>
        </is>
      </c>
      <c r="C6" s="4" t="inlineStr">
        <is>
          <t>Sigma-Aldrich (TTU B2B)</t>
        </is>
      </c>
      <c r="D6" s="4" t="inlineStr">
        <is>
          <t>M4159-25G</t>
        </is>
      </c>
      <c r="E6" s="4" t="inlineStr">
        <is>
          <t>25 g</t>
        </is>
      </c>
      <c r="F6" s="5" t="n">
        <v>1</v>
      </c>
      <c r="G6" s="6" t="n"/>
      <c r="H6" s="7">
        <f>IF(ISNUMBER(G6),F6*G6,"")</f>
        <v/>
      </c>
      <c r="I6" s="8" t="inlineStr">
        <is>
          <t>Link</t>
        </is>
      </c>
      <c r="J6" s="4" t="inlineStr">
        <is>
          <t>TTU B2B price quoted: $53.97.</t>
        </is>
      </c>
    </row>
    <row r="7">
      <c r="A7" s="4" t="n">
        <v>3</v>
      </c>
      <c r="B7" s="4" t="inlineStr">
        <is>
          <t>Sodium dithionite, Purified (Reagents), amber glass bottle</t>
        </is>
      </c>
      <c r="C7" s="4" t="inlineStr">
        <is>
          <t>Cole-Parmer</t>
        </is>
      </c>
      <c r="D7" s="4" t="inlineStr">
        <is>
          <t>UX-78919-04 (Mfr C2316300-500C2)</t>
        </is>
      </c>
      <c r="E7" s="4" t="inlineStr">
        <is>
          <t>500 g</t>
        </is>
      </c>
      <c r="F7" s="5" t="n">
        <v>1</v>
      </c>
      <c r="G7" s="6" t="n"/>
      <c r="H7" s="7">
        <f>IF(ISNUMBER(G7),F7*G7,"")</f>
        <v/>
      </c>
      <c r="I7" s="8" t="inlineStr">
        <is>
          <t>Link</t>
        </is>
      </c>
      <c r="J7" s="4" t="inlineStr">
        <is>
          <t>List price $68.60; ships by Oct 05. Check shipping (usually hazmat). Cheaper: Sigma 157953-5G, 5 g, $46.70.</t>
        </is>
      </c>
    </row>
    <row r="8">
      <c r="A8" s="4" t="n">
        <v>4</v>
      </c>
      <c r="B8" s="4" t="inlineStr">
        <is>
          <t>PTFE magnetic stir bars (for mixing 1 L)</t>
        </is>
      </c>
      <c r="C8" s="4" t="inlineStr">
        <is>
          <t>Amazon</t>
        </is>
      </c>
      <c r="D8" s="4" t="inlineStr"/>
      <c r="E8" s="4" t="inlineStr"/>
      <c r="F8" s="5" t="n">
        <v>1</v>
      </c>
      <c r="G8" s="6" t="n"/>
      <c r="H8" s="7">
        <f>IF(ISNUMBER(G8),F8*G8,"")</f>
        <v/>
      </c>
      <c r="I8" s="8" t="inlineStr">
        <is>
          <t>Link</t>
        </is>
      </c>
      <c r="J8" s="4" t="inlineStr">
        <is>
          <t>Bars ~25–35 mm long to mix 1 L.</t>
        </is>
      </c>
    </row>
    <row r="9">
      <c r="A9" s="4" t="n">
        <v>5</v>
      </c>
      <c r="B9" s="4" t="inlineStr">
        <is>
          <t>Weighing boats</t>
        </is>
      </c>
      <c r="C9" s="4" t="inlineStr">
        <is>
          <t>Amazon</t>
        </is>
      </c>
      <c r="D9" s="4" t="inlineStr"/>
      <c r="E9" s="4" t="inlineStr"/>
      <c r="F9" s="5" t="n">
        <v>1</v>
      </c>
      <c r="G9" s="6" t="n"/>
      <c r="H9" s="7">
        <f>IF(ISNUMBER(G9),F9*G9,"")</f>
        <v/>
      </c>
      <c r="I9" s="8" t="inlineStr">
        <is>
          <t>Link</t>
        </is>
      </c>
      <c r="J9" s="4" t="inlineStr"/>
    </row>
    <row r="10">
      <c r="A10" s="4" t="n">
        <v>6</v>
      </c>
      <c r="B10" s="4" t="inlineStr">
        <is>
          <t>Plastic spatulas</t>
        </is>
      </c>
      <c r="C10" s="4" t="inlineStr">
        <is>
          <t>Amazon</t>
        </is>
      </c>
      <c r="D10" s="4" t="inlineStr"/>
      <c r="E10" s="4" t="inlineStr"/>
      <c r="F10" s="5" t="n">
        <v>1</v>
      </c>
      <c r="G10" s="6" t="n"/>
      <c r="H10" s="7">
        <f>IF(ISNUMBER(G10),F10*G10,"")</f>
        <v/>
      </c>
      <c r="I10" s="8" t="inlineStr">
        <is>
          <t>Link</t>
        </is>
      </c>
      <c r="J10" s="4" t="inlineStr">
        <is>
          <t>Check lab first — lab may already have spatulas.</t>
        </is>
      </c>
    </row>
    <row r="12">
      <c r="G12" s="9" t="inlineStr">
        <is>
          <t>Total</t>
        </is>
      </c>
      <c r="H12" s="10">
        <f>SUM(H5:H10)</f>
        <v/>
      </c>
    </row>
    <row r="13">
      <c r="G13" s="9" t="inlineStr">
        <is>
          <t>Budget</t>
        </is>
      </c>
      <c r="H13" s="11" t="n">
        <v>200</v>
      </c>
      <c r="J13" s="2" t="inlineStr">
        <is>
          <t>Budget: $200 (from the TA).</t>
        </is>
      </c>
    </row>
    <row r="14">
      <c r="G14" s="9" t="inlineStr">
        <is>
          <t>Remaining</t>
        </is>
      </c>
      <c r="H14" s="10">
        <f>H13-H12</f>
        <v/>
      </c>
    </row>
  </sheetData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2026-09-28T17:33:23Z</dcterms:created>
  <dcterms:modified xsi:type="dcterms:W3CDTF">2026-09-29T15:07:24Z</dcterms:modified>
</cp:coreProperties>
</file>